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re_dabord" sheetId="1" state="visible" r:id="rId1"/>
    <sheet name="1_Fonction" sheetId="2" state="visible" r:id="rId2"/>
    <sheet name="2_Exemple" sheetId="3" state="visible" r:id="rId3"/>
    <sheet name="3_Distorsion" sheetId="4" state="visible" r:id="rId4"/>
    <sheet name="4_Calibration" sheetId="5" state="visible" r:id="rId5"/>
    <sheet name="5_Nos_chiffres" sheetId="6" state="visible" r:id="rId6"/>
    <sheet name="6_Sous_leau" sheetId="7" state="visible" r:id="rId7"/>
    <sheet name="7_Courbes" sheetId="8" state="visible" r:id="rId8"/>
    <sheet name="Sources" sheetId="9" state="visible" r:id="rId9"/>
  </sheets>
  <definedNames/>
  <calcPr calcId="124519" fullCalcOnLoad="1"/>
</workbook>
</file>

<file path=xl/styles.xml><?xml version="1.0" encoding="utf-8"?>
<styleSheet xmlns="http://schemas.openxmlformats.org/spreadsheetml/2006/main">
  <numFmts count="5">
    <numFmt numFmtId="164" formatCode="0.0000"/>
    <numFmt numFmtId="165" formatCode="0.000"/>
    <numFmt numFmtId="166" formatCode="0.000000"/>
    <numFmt numFmtId="167" formatCode="0.0"/>
    <numFmt numFmtId="168" formatCode="+0.000;-0.000;0.000"/>
  </numFmts>
  <fonts count="22">
    <font>
      <name val="Calibri"/>
      <family val="2"/>
      <color theme="1"/>
      <sz val="11"/>
      <scheme val="minor"/>
    </font>
    <font>
      <name val="Arial"/>
      <b val="1"/>
      <color rgb="00FFFFFF"/>
      <sz val="15"/>
    </font>
    <font>
      <name val="Arial"/>
      <i val="1"/>
      <color rgb="00595959"/>
      <sz val="9"/>
    </font>
    <font>
      <name val="Arial"/>
      <b val="1"/>
      <color rgb="001F3864"/>
      <sz val="11"/>
    </font>
    <font>
      <name val="Arial"/>
      <color rgb="00000000"/>
      <sz val="10"/>
    </font>
    <font>
      <name val="Consolas"/>
      <b val="1"/>
      <color rgb="001F3864"/>
      <sz val="11"/>
    </font>
    <font>
      <name val="Arial"/>
      <b val="1"/>
      <color rgb="00000000"/>
      <sz val="9"/>
    </font>
    <font>
      <name val="Arial"/>
      <color rgb="00000000"/>
      <sz val="9"/>
    </font>
    <font>
      <name val="Arial"/>
      <b val="1"/>
      <color rgb="00006100"/>
      <sz val="9"/>
    </font>
    <font>
      <name val="Arial"/>
      <b val="1"/>
      <color rgb="000000FF"/>
      <sz val="10"/>
    </font>
    <font>
      <name val="Arial"/>
      <b val="1"/>
      <color rgb="00000000"/>
      <sz val="10"/>
    </font>
    <font>
      <name val="Arial"/>
      <b val="1"/>
      <color rgb="00006100"/>
      <sz val="10"/>
    </font>
    <font>
      <name val="Arial"/>
      <color rgb="000000FF"/>
      <sz val="9"/>
    </font>
    <font>
      <name val="Arial"/>
      <i val="1"/>
      <color rgb="00808080"/>
      <sz val="9"/>
    </font>
    <font>
      <name val="Arial"/>
      <i val="1"/>
      <color rgb="00000000"/>
      <sz val="10"/>
    </font>
    <font>
      <name val="Arial"/>
      <b val="1"/>
      <color rgb="00000000"/>
      <sz val="11"/>
    </font>
    <font>
      <name val="Arial"/>
      <b val="1"/>
      <color rgb="00000000"/>
      <sz val="12"/>
    </font>
    <font>
      <name val="Arial"/>
      <i val="1"/>
      <color rgb="00006100"/>
      <sz val="9"/>
    </font>
    <font>
      <name val="Arial"/>
      <color rgb="00006100"/>
      <sz val="9"/>
    </font>
    <font>
      <name val="Arial"/>
      <b val="1"/>
      <color rgb="000000FF"/>
      <sz val="9"/>
    </font>
    <font>
      <name val="Arial"/>
      <color rgb="00C00000"/>
      <sz val="10"/>
    </font>
    <font>
      <name val="Arial"/>
      <i val="1"/>
      <color rgb="00000000"/>
      <sz val="9"/>
    </font>
  </fonts>
  <fills count="6">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left" vertical="top"/>
    </xf>
    <xf numFmtId="0" fontId="2" fillId="0" borderId="0" applyAlignment="1" pivotButton="0" quotePrefix="0" xfId="0">
      <alignment horizontal="left" vertical="top" wrapText="1"/>
    </xf>
    <xf numFmtId="0" fontId="3" fillId="3" borderId="0" applyAlignment="1" pivotButton="0" quotePrefix="0" xfId="0">
      <alignment horizontal="left" vertical="top"/>
    </xf>
    <xf numFmtId="0" fontId="4" fillId="0" borderId="0" applyAlignment="1" pivotButton="0" quotePrefix="0" xfId="0">
      <alignment horizontal="left" vertical="top" wrapText="1"/>
    </xf>
    <xf numFmtId="0" fontId="5" fillId="4" borderId="0" applyAlignment="1" pivotButton="0" quotePrefix="0" xfId="0">
      <alignment horizontal="center" vertical="center"/>
    </xf>
    <xf numFmtId="0" fontId="6" fillId="5"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xf>
    <xf numFmtId="0" fontId="9" fillId="0" borderId="0" applyAlignment="1" pivotButton="0" quotePrefix="0" xfId="0">
      <alignment horizontal="left" vertical="top"/>
    </xf>
    <xf numFmtId="0" fontId="7" fillId="0" borderId="0" applyAlignment="1" pivotButton="0" quotePrefix="0" xfId="0">
      <alignment horizontal="left" vertical="top" wrapText="1"/>
    </xf>
    <xf numFmtId="0" fontId="10" fillId="0" borderId="0" applyAlignment="1" pivotButton="0" quotePrefix="0" xfId="0">
      <alignment horizontal="left" vertical="top"/>
    </xf>
    <xf numFmtId="0" fontId="11" fillId="0" borderId="0" applyAlignment="1" pivotButton="0" quotePrefix="0" xfId="0">
      <alignment horizontal="left" vertical="top"/>
    </xf>
    <xf numFmtId="0" fontId="7" fillId="0" borderId="1" applyAlignment="1" pivotButton="0" quotePrefix="0" xfId="0">
      <alignment horizontal="left" vertical="top"/>
    </xf>
    <xf numFmtId="0" fontId="11" fillId="0" borderId="1" applyAlignment="1" pivotButton="0" quotePrefix="0" xfId="0">
      <alignment horizontal="left" vertical="top"/>
    </xf>
    <xf numFmtId="2" fontId="11" fillId="0" borderId="1" applyAlignment="1" pivotButton="0" quotePrefix="0" xfId="0">
      <alignment horizontal="left" vertical="top"/>
    </xf>
    <xf numFmtId="164" fontId="11" fillId="0" borderId="1" applyAlignment="1" pivotButton="0" quotePrefix="0" xfId="0">
      <alignment horizontal="left" vertical="top"/>
    </xf>
    <xf numFmtId="1" fontId="11" fillId="0" borderId="1" applyAlignment="1" pivotButton="0" quotePrefix="0" xfId="0">
      <alignment horizontal="left" vertical="top"/>
    </xf>
    <xf numFmtId="1" fontId="12" fillId="0" borderId="1" applyAlignment="1" pivotButton="0" quotePrefix="0" xfId="0">
      <alignment horizontal="left" vertical="top"/>
    </xf>
    <xf numFmtId="0" fontId="6" fillId="0" borderId="1" applyAlignment="1" pivotButton="0" quotePrefix="0" xfId="0">
      <alignment horizontal="left" vertical="top"/>
    </xf>
    <xf numFmtId="1" fontId="6" fillId="0" borderId="1" applyAlignment="1" pivotButton="0" quotePrefix="0" xfId="0">
      <alignment horizontal="left" vertical="top"/>
    </xf>
    <xf numFmtId="0" fontId="6" fillId="0" borderId="0" applyAlignment="1" pivotButton="0" quotePrefix="0" xfId="0">
      <alignment horizontal="left" vertical="top"/>
    </xf>
    <xf numFmtId="165" fontId="12" fillId="0" borderId="1" applyAlignment="1" pivotButton="0" quotePrefix="0" xfId="0">
      <alignment horizontal="left" vertical="top"/>
    </xf>
    <xf numFmtId="0" fontId="13" fillId="0" borderId="0" applyAlignment="1" pivotButton="0" quotePrefix="0" xfId="0">
      <alignment horizontal="left" vertical="top"/>
    </xf>
    <xf numFmtId="0" fontId="6" fillId="0" borderId="0" applyAlignment="1" pivotButton="0" quotePrefix="0" xfId="0">
      <alignment horizontal="center" vertical="top"/>
    </xf>
    <xf numFmtId="0" fontId="14" fillId="0" borderId="0" applyAlignment="1" pivotButton="0" quotePrefix="0" xfId="0">
      <alignment horizontal="left" vertical="top" wrapText="1"/>
    </xf>
    <xf numFmtId="164" fontId="12" fillId="0" borderId="1" applyAlignment="1" pivotButton="0" quotePrefix="0" xfId="0">
      <alignment horizontal="left" vertical="top"/>
    </xf>
    <xf numFmtId="164" fontId="7" fillId="0" borderId="1" applyAlignment="1" pivotButton="0" quotePrefix="0" xfId="0">
      <alignment horizontal="left" vertical="top"/>
    </xf>
    <xf numFmtId="166" fontId="7" fillId="0" borderId="1" applyAlignment="1" pivotButton="0" quotePrefix="0" xfId="0">
      <alignment horizontal="left" vertical="top"/>
    </xf>
    <xf numFmtId="0" fontId="13" fillId="0" borderId="0" applyAlignment="1" pivotButton="0" quotePrefix="0" xfId="0">
      <alignment horizontal="left" vertical="top" wrapText="1"/>
    </xf>
    <xf numFmtId="2" fontId="15" fillId="4" borderId="1" applyAlignment="1" pivotButton="0" quotePrefix="0" xfId="0">
      <alignment horizontal="left" vertical="top"/>
    </xf>
    <xf numFmtId="0" fontId="16" fillId="4" borderId="1" applyAlignment="1" pivotButton="0" quotePrefix="0" xfId="0">
      <alignment horizontal="left" vertical="top" wrapText="1"/>
    </xf>
    <xf numFmtId="0" fontId="14" fillId="0" borderId="1" applyAlignment="1" pivotButton="0" quotePrefix="0" xfId="0">
      <alignment horizontal="left" vertical="top" wrapText="1"/>
    </xf>
    <xf numFmtId="0" fontId="17" fillId="4" borderId="1" applyAlignment="1" pivotButton="0" quotePrefix="0" xfId="0">
      <alignment horizontal="left" vertical="top" wrapText="1"/>
    </xf>
    <xf numFmtId="167" fontId="12" fillId="0" borderId="1" applyAlignment="1" pivotButton="0" quotePrefix="0" xfId="0">
      <alignment horizontal="left" vertical="top"/>
    </xf>
    <xf numFmtId="165" fontId="15" fillId="4" borderId="1" applyAlignment="1" pivotButton="0" quotePrefix="0" xfId="0">
      <alignment horizontal="left" vertical="top"/>
    </xf>
    <xf numFmtId="166" fontId="18" fillId="0" borderId="1" applyAlignment="1" pivotButton="0" quotePrefix="0" xfId="0">
      <alignment horizontal="left" vertical="top"/>
    </xf>
    <xf numFmtId="164" fontId="19" fillId="0" borderId="1" applyAlignment="1" pivotButton="0" quotePrefix="0" xfId="0">
      <alignment horizontal="left" vertical="top"/>
    </xf>
    <xf numFmtId="0" fontId="7" fillId="4" borderId="1" applyAlignment="1" pivotButton="0" quotePrefix="0" xfId="0">
      <alignment horizontal="left" vertical="top" wrapText="1"/>
    </xf>
    <xf numFmtId="0" fontId="20" fillId="0" borderId="0" applyAlignment="1" pivotButton="0" quotePrefix="0" xfId="0">
      <alignment horizontal="left" vertical="top" wrapText="1"/>
    </xf>
    <xf numFmtId="1" fontId="7" fillId="0" borderId="1" applyAlignment="1" pivotButton="0" quotePrefix="0" xfId="0">
      <alignment horizontal="left" vertical="top"/>
    </xf>
    <xf numFmtId="167" fontId="7" fillId="0" borderId="1" applyAlignment="1" pivotButton="0" quotePrefix="0" xfId="0">
      <alignment horizontal="left" vertical="top"/>
    </xf>
    <xf numFmtId="164" fontId="9" fillId="4" borderId="1" applyAlignment="1" pivotButton="0" quotePrefix="0" xfId="0">
      <alignment horizontal="left" vertical="top"/>
    </xf>
    <xf numFmtId="0" fontId="6" fillId="0" borderId="1" applyAlignment="1" pivotButton="0" quotePrefix="0" xfId="0">
      <alignment horizontal="center" vertical="top"/>
    </xf>
    <xf numFmtId="166" fontId="12" fillId="0" borderId="1" applyAlignment="1" pivotButton="0" quotePrefix="0" xfId="0">
      <alignment horizontal="left" vertical="top"/>
    </xf>
    <xf numFmtId="0" fontId="21" fillId="0" borderId="0" applyAlignment="1" pivotButton="0" quotePrefix="0" xfId="0">
      <alignment horizontal="left" vertical="top" wrapText="1"/>
    </xf>
    <xf numFmtId="168" fontId="7" fillId="0" borderId="1" applyAlignment="1" pivotButton="0" quotePrefix="0" xfId="0">
      <alignment horizontal="left" vertical="top"/>
    </xf>
    <xf numFmtId="2" fontId="12" fillId="0" borderId="1" applyAlignment="1" pivotButton="0" quotePrefix="0" xfId="0">
      <alignment horizontal="left" vertical="top"/>
    </xf>
    <xf numFmtId="2" fontId="10" fillId="4" borderId="1" applyAlignment="1" pivotButton="0" quotePrefix="0" xfId="0">
      <alignment horizontal="left" vertical="top"/>
    </xf>
    <xf numFmtId="165" fontId="10" fillId="4" borderId="1" applyAlignment="1" pivotButton="0" quotePrefix="0" xfId="0">
      <alignment horizontal="left" vertical="top"/>
    </xf>
    <xf numFmtId="0" fontId="21" fillId="0" borderId="1" applyAlignment="1" pivotButton="0" quotePrefix="0" xfId="0">
      <alignment horizontal="left" vertical="top" wrapText="1"/>
    </xf>
    <xf numFmtId="0" fontId="7" fillId="0" borderId="1" applyAlignment="1" pivotButton="0" quotePrefix="0" xfId="0">
      <alignment horizontal="center" vertical="top"/>
    </xf>
    <xf numFmtId="0" fontId="6" fillId="0" borderId="1" applyAlignment="1" pivotButton="0" quotePrefix="0" xfId="0">
      <alignment horizontal="left" vertical="top" wrapText="1"/>
    </xf>
    <xf numFmtId="165" fontId="7" fillId="0" borderId="1" applyAlignment="1" pivotButton="0" quotePrefix="0" xfId="0">
      <alignment horizontal="left" vertical="top"/>
    </xf>
    <xf numFmtId="2" fontId="7"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2"/>
  <chart>
    <title>
      <tx>
        <rich>
          <a:bodyPr/>
          <a:p>
            <a:pPr>
              <a:defRPr/>
            </a:pPr>
            <a:r>
              <a:t>Distance mesuree selon le cote apparent du tag</a:t>
            </a:r>
          </a:p>
        </rich>
      </tx>
    </title>
    <plotArea>
      <scatterChart>
        <ser>
          <idx val="0"/>
          <order val="0"/>
          <tx>
            <strRef>
              <f>'7_Courbes'!B11</f>
            </strRef>
          </tx>
          <spPr>
            <a:ln>
              <a:prstDash val="solid"/>
            </a:ln>
          </spPr>
          <marker>
            <symbol val="none"/>
            <spPr>
              <a:ln>
                <a:prstDash val="solid"/>
              </a:ln>
            </spPr>
          </marker>
          <xVal>
            <numRef>
              <f>'7_Courbes'!$A$12:$A$40</f>
            </numRef>
          </xVal>
          <yVal>
            <numRef>
              <f>'7_Courbes'!$B$12:$B$40</f>
            </numRef>
          </yVal>
          <smooth val="1"/>
        </ser>
        <ser>
          <idx val="1"/>
          <order val="1"/>
          <tx>
            <strRef>
              <f>'7_Courbes'!C11</f>
            </strRef>
          </tx>
          <spPr>
            <a:ln>
              <a:prstDash val="solid"/>
            </a:ln>
          </spPr>
          <marker>
            <symbol val="none"/>
            <spPr>
              <a:ln>
                <a:prstDash val="solid"/>
              </a:ln>
            </spPr>
          </marker>
          <xVal>
            <numRef>
              <f>'7_Courbes'!$A$12:$A$40</f>
            </numRef>
          </xVal>
          <yVal>
            <numRef>
              <f>'7_Courbes'!$C$12:$C$40</f>
            </numRef>
          </yVal>
          <smooth val="1"/>
        </ser>
        <ser>
          <idx val="2"/>
          <order val="2"/>
          <tx>
            <strRef>
              <f>'7_Courbes'!D11</f>
            </strRef>
          </tx>
          <spPr>
            <a:ln>
              <a:prstDash val="solid"/>
            </a:ln>
          </spPr>
          <marker>
            <symbol val="none"/>
            <spPr>
              <a:ln>
                <a:prstDash val="solid"/>
              </a:ln>
            </spPr>
          </marker>
          <xVal>
            <numRef>
              <f>'7_Courbes'!$A$12:$A$40</f>
            </numRef>
          </xVal>
          <yVal>
            <numRef>
              <f>'7_Courbes'!$D$12:$D$40</f>
            </numRef>
          </yVal>
          <smooth val="1"/>
        </ser>
        <axId val="10"/>
        <axId val="20"/>
      </scatterChart>
      <valAx>
        <axId val="10"/>
        <scaling>
          <orientation val="minMax"/>
        </scaling>
        <delete val="0"/>
        <axPos val="l"/>
        <majorGridlines/>
        <title>
          <tx>
            <rich>
              <a:bodyPr/>
              <a:p>
                <a:pPr>
                  <a:defRPr/>
                </a:pPr>
                <a:r>
                  <a:t>Cote apparent du tag (pixels)</a:t>
                </a:r>
              </a:p>
            </rich>
          </tx>
        </title>
        <majorTickMark val="none"/>
        <minorTickMark val="none"/>
        <tickLblPos val="low"/>
        <crossAx val="20"/>
      </valAx>
      <valAx>
        <axId val="20"/>
        <scaling>
          <orientation val="minMax"/>
        </scaling>
        <delete val="0"/>
        <axPos val="l"/>
        <majorGridlines/>
        <title>
          <tx>
            <rich>
              <a:bodyPr/>
              <a:p>
                <a:pPr>
                  <a:defRPr/>
                </a:pPr>
                <a:r>
                  <a:t>Distance (metres)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Profil de distorsion radiale (montage tube_air)</a:t>
            </a:r>
          </a:p>
        </rich>
      </tx>
    </title>
    <plotArea>
      <scatterChart>
        <ser>
          <idx val="0"/>
          <order val="0"/>
          <tx>
            <strRef>
              <f>'7_Courbes'!D43</f>
            </strRef>
          </tx>
          <spPr>
            <a:ln>
              <a:prstDash val="solid"/>
            </a:ln>
          </spPr>
          <marker>
            <symbol val="none"/>
            <spPr>
              <a:ln>
                <a:prstDash val="solid"/>
              </a:ln>
            </spPr>
          </marker>
          <xVal>
            <numRef>
              <f>'7_Courbes'!$C$44:$C$79</f>
            </numRef>
          </xVal>
          <yVal>
            <numRef>
              <f>'7_Courbes'!$D$44:$D$79</f>
            </numRef>
          </yVal>
          <smooth val="1"/>
        </ser>
        <axId val="10"/>
        <axId val="20"/>
      </scatterChart>
      <valAx>
        <axId val="10"/>
        <scaling>
          <orientation val="minMax"/>
        </scaling>
        <delete val="0"/>
        <axPos val="l"/>
        <majorGridlines/>
        <title>
          <tx>
            <rich>
              <a:bodyPr/>
              <a:p>
                <a:pPr>
                  <a:defRPr/>
                </a:pPr>
                <a:r>
                  <a:t>Distance au centre optique (pixels)</a:t>
                </a:r>
              </a:p>
            </rich>
          </tx>
        </title>
        <majorTickMark val="none"/>
        <minorTickMark val="none"/>
        <tickLblPos val="low"/>
        <crossAx val="20"/>
      </valAx>
      <valAx>
        <axId val="20"/>
        <scaling>
          <orientation val="minMax"/>
        </scaling>
        <delete val="0"/>
        <axPos val="l"/>
        <majorGridlines/>
        <title>
          <tx>
            <rich>
              <a:bodyPr/>
              <a:p>
                <a:pPr>
                  <a:defRPr/>
                </a:pPr>
                <a:r>
                  <a:t>Deplacement du point (pixels)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10</row>
      <rowOff>0</rowOff>
    </from>
    <ext cx="7920000" cy="414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42</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H43"/>
  <sheetViews>
    <sheetView showGridLines="0" workbookViewId="0">
      <selection activeCell="A1" sqref="A1"/>
    </sheetView>
  </sheetViews>
  <sheetFormatPr baseColWidth="8" defaultRowHeight="15"/>
  <cols>
    <col width="30" customWidth="1" min="1" max="1"/>
    <col width="20" customWidth="1" min="2" max="2"/>
    <col width="24" customWidth="1" min="3" max="3"/>
    <col width="20" customWidth="1" min="4" max="4"/>
    <col width="16" customWidth="1" min="5" max="5"/>
    <col width="14" customWidth="1" min="6" max="6"/>
    <col width="14" customWidth="1" min="7" max="7"/>
    <col width="14" customWidth="1" min="8" max="8"/>
  </cols>
  <sheetData>
    <row r="1" ht="30" customHeight="1">
      <c r="A1" s="1" t="inlineStr">
        <is>
          <t>LA FONCTION DE LA CALIBRATION</t>
        </is>
      </c>
    </row>
    <row r="2" ht="24" customHeight="1">
      <c r="A2" s="2" t="inlineStr">
        <is>
          <t>Localisation d'un UUV par AprilTags — RealSense D435i dans un tube Blue Robotics. Dossier prepare le 12/08/2026.</t>
        </is>
      </c>
    </row>
    <row r="4" ht="20" customHeight="1">
      <c r="A4" s="3" t="inlineStr">
        <is>
          <t>LA QUESTION</t>
        </is>
      </c>
    </row>
    <row r="5" ht="28" customHeight="1">
      <c r="A5" s="4" t="inlineStr">
        <is>
          <t>"Quelle est la fonction de la calibration ?" — c'est-a-dire : quelle fonction mathematique l'operation de calibration cherche-t-elle a determiner, et comment la determine-t-on ?</t>
        </is>
      </c>
    </row>
    <row r="7" ht="20" customHeight="1">
      <c r="A7" s="3" t="inlineStr">
        <is>
          <t>LA REPONSE EN UNE LIGNE</t>
        </is>
      </c>
    </row>
    <row r="8" ht="18" customHeight="1">
      <c r="A8" s="4" t="inlineStr">
        <is>
          <t>La calibration determine la fonction de PROJECTION : celle qui, a un point de l'espace, associe le pixel ou la camera le voit.</t>
        </is>
      </c>
    </row>
    <row r="10" ht="24" customHeight="1">
      <c r="A10" s="5" t="inlineStr">
        <is>
          <t>m  =  pi( M ; K , d , R , t )        soit        (u, v)  =  pi( X, Y, Z )</t>
        </is>
      </c>
    </row>
    <row r="11" ht="32" customHeight="1">
      <c r="A11" s="4" t="inlineStr">
        <is>
          <t>Calibrer, c'est trouver les valeurs numeriques des parametres K (4 nombres) et d (5 nombres) qui font que cette fonction reproduit ce que la camera voit reellement. C'est un probleme de moindres carres non lineaires.</t>
        </is>
      </c>
    </row>
    <row r="13" ht="20" customHeight="1">
      <c r="A13" s="3" t="inlineStr">
        <is>
          <t>LES QUATRE ETAPES DE LA FONCTION</t>
        </is>
      </c>
    </row>
    <row r="14">
      <c r="A14" s="6" t="inlineStr">
        <is>
          <t>Etape</t>
        </is>
      </c>
      <c r="B14" s="6" t="inlineStr">
        <is>
          <t>Ce qu'elle fait</t>
        </is>
      </c>
      <c r="C14" s="6" t="inlineStr">
        <is>
          <t>Formule</t>
        </is>
      </c>
      <c r="D14" s="6" t="inlineStr">
        <is>
          <t>Parametres</t>
        </is>
      </c>
      <c r="E14" s="6" t="inlineStr">
        <is>
          <t>Combien</t>
        </is>
      </c>
    </row>
    <row r="15" ht="26" customHeight="1">
      <c r="A15" s="7" t="inlineStr">
        <is>
          <t>1. Repere</t>
        </is>
      </c>
      <c r="B15" s="7" t="inlineStr">
        <is>
          <t>Monde -&gt; camera</t>
        </is>
      </c>
      <c r="C15" s="7" t="inlineStr">
        <is>
          <t>Pc = R.M + t</t>
        </is>
      </c>
      <c r="D15" s="7" t="inlineStr">
        <is>
          <t>R, t</t>
        </is>
      </c>
      <c r="E15" s="7" t="inlineStr">
        <is>
          <t>6 par vue</t>
        </is>
      </c>
    </row>
    <row r="16" ht="26" customHeight="1">
      <c r="A16" s="7" t="inlineStr">
        <is>
          <t>2. Projection</t>
        </is>
      </c>
      <c r="B16" s="7" t="inlineStr">
        <is>
          <t>Espace -&gt; plan image</t>
        </is>
      </c>
      <c r="C16" s="7" t="inlineStr">
        <is>
          <t>x = Xc/Zc ; y = Yc/Zc</t>
        </is>
      </c>
      <c r="D16" s="7" t="inlineStr">
        <is>
          <t>aucun</t>
        </is>
      </c>
      <c r="E16" s="7" t="inlineStr">
        <is>
          <t>0</t>
        </is>
      </c>
    </row>
    <row r="17" ht="26" customHeight="1">
      <c r="A17" s="7" t="inlineStr">
        <is>
          <t>3. Distorsion</t>
        </is>
      </c>
      <c r="B17" s="7" t="inlineStr">
        <is>
          <t>Corrige la lentille</t>
        </is>
      </c>
      <c r="C17" s="7" t="inlineStr">
        <is>
          <t>xd = x.(1+k1r2+k2r4+k3r6) + tangentiel</t>
        </is>
      </c>
      <c r="D17" s="7" t="inlineStr">
        <is>
          <t>k1 k2 p1 p2 k3</t>
        </is>
      </c>
      <c r="E17" s="7" t="inlineStr">
        <is>
          <t>5</t>
        </is>
      </c>
    </row>
    <row r="18" ht="26" customHeight="1">
      <c r="A18" s="7" t="inlineStr">
        <is>
          <t>4. Capteur</t>
        </is>
      </c>
      <c r="B18" s="7" t="inlineStr">
        <is>
          <t>Plan image -&gt; pixels</t>
        </is>
      </c>
      <c r="C18" s="7" t="inlineStr">
        <is>
          <t>u = fx.xd + cx ; v = fy.yd + cy</t>
        </is>
      </c>
      <c r="D18" s="7" t="inlineStr">
        <is>
          <t>fx fy cx cy</t>
        </is>
      </c>
      <c r="E18" s="7" t="inlineStr">
        <is>
          <t>4</t>
        </is>
      </c>
    </row>
    <row r="20" ht="20" customHeight="1">
      <c r="A20" s="3" t="inlineStr">
        <is>
          <t>OU TROUVER QUOI</t>
        </is>
      </c>
    </row>
    <row r="21">
      <c r="A21" s="6" t="inlineStr">
        <is>
          <t>Onglet</t>
        </is>
      </c>
      <c r="B21" s="6" t="inlineStr">
        <is>
          <t>Contenu</t>
        </is>
      </c>
    </row>
    <row r="22" ht="24" customHeight="1">
      <c r="A22" s="8" t="inlineStr">
        <is>
          <t>1_Fonction</t>
        </is>
      </c>
      <c r="B22" s="7" t="inlineStr">
        <is>
          <t>La fonction etape par etape, avec le tableau des symboles.</t>
        </is>
      </c>
    </row>
    <row r="23" ht="24" customHeight="1">
      <c r="A23" s="8" t="inlineStr">
        <is>
          <t>2_Exemple</t>
        </is>
      </c>
      <c r="B23" s="7" t="inlineStr">
        <is>
          <t>Un point 3D pousse dans la fonction jusqu'au pixel. Les cellules bleues sont modifiables : tout se recalcule.</t>
        </is>
      </c>
    </row>
    <row r="24" ht="24" customHeight="1">
      <c r="A24" s="8" t="inlineStr">
        <is>
          <t>3_Distorsion</t>
        </is>
      </c>
      <c r="B24" s="7" t="inlineStr">
        <is>
          <t>Le modele de distorsion, et jusqu'ou nos coefficients sont valables.</t>
        </is>
      </c>
    </row>
    <row r="25" ht="24" customHeight="1">
      <c r="A25" s="8" t="inlineStr">
        <is>
          <t>4_Calibration</t>
        </is>
      </c>
      <c r="B25" s="7" t="inlineStr">
        <is>
          <t>Comment on TROUVE les parametres : moindres carres, methode de Zhang, Levenberg-Marquardt.</t>
        </is>
      </c>
    </row>
    <row r="26" ht="24" customHeight="1">
      <c r="A26" s="8" t="inlineStr">
        <is>
          <t>5_Nos_chiffres</t>
        </is>
      </c>
      <c r="B26" s="7" t="inlineStr">
        <is>
          <t>Les valeurs mesurees sur notre camera, hors tube et dans le tube.</t>
        </is>
      </c>
    </row>
    <row r="27" ht="24" customHeight="1">
      <c r="A27" s="8" t="inlineStr">
        <is>
          <t>6_Sous_leau</t>
        </is>
      </c>
      <c r="B27" s="7" t="inlineStr">
        <is>
          <t>Ce que devient la fonction une fois le tube immerge, et la limite du modele.</t>
        </is>
      </c>
    </row>
    <row r="28" ht="24" customHeight="1">
      <c r="A28" s="8" t="inlineStr">
        <is>
          <t>7_Courbes</t>
        </is>
      </c>
      <c r="B28" s="7" t="inlineStr">
        <is>
          <t>Les courbes : distance selon la taille apparente, et profil de distorsion.</t>
        </is>
      </c>
    </row>
    <row r="29" ht="24" customHeight="1">
      <c r="A29" s="8" t="inlineStr">
        <is>
          <t>Sources</t>
        </is>
      </c>
      <c r="B29" s="7" t="inlineStr">
        <is>
          <t>References bibliographiques et fichiers du depot.</t>
        </is>
      </c>
    </row>
    <row r="31" ht="20" customHeight="1">
      <c r="A31" s="3" t="inlineStr">
        <is>
          <t>CODE COULEUR DES CELLULES</t>
        </is>
      </c>
    </row>
    <row r="32">
      <c r="A32" s="9" t="inlineStr">
        <is>
          <t>[ ]</t>
        </is>
      </c>
      <c r="B32" s="10" t="inlineStr">
        <is>
          <t>Bleu : nombre mesure ou constante physique. C'est une ENTREE, elle ne se calcule pas.</t>
        </is>
      </c>
    </row>
    <row r="33">
      <c r="A33" s="11" t="inlineStr">
        <is>
          <t>[ ]</t>
        </is>
      </c>
      <c r="B33" s="10" t="inlineStr">
        <is>
          <t>Noir : resultat d'une formule Excel. Se recalcule tout seul.</t>
        </is>
      </c>
    </row>
    <row r="34">
      <c r="A34" s="12" t="inlineStr">
        <is>
          <t>[ ]</t>
        </is>
      </c>
      <c r="B34" s="10" t="inlineStr">
        <is>
          <t>Vert : valeur reprise d'un autre onglet.</t>
        </is>
      </c>
    </row>
    <row r="36" ht="20" customHeight="1">
      <c r="A36" s="3" t="inlineStr">
        <is>
          <t>LES CHIFFRES CLES</t>
        </is>
      </c>
    </row>
    <row r="37">
      <c r="A37" s="13" t="inlineStr">
        <is>
          <t>Montage calibre</t>
        </is>
      </c>
      <c r="B37" s="14">
        <f>5_Nos_chiffres!C4</f>
        <v/>
      </c>
    </row>
    <row r="38">
      <c r="A38" s="13" t="inlineStr">
        <is>
          <t>Focale fx (px)</t>
        </is>
      </c>
      <c r="B38" s="15">
        <f>5_Nos_chiffres!C5</f>
        <v/>
      </c>
    </row>
    <row r="39">
      <c r="A39" s="13" t="inlineStr">
        <is>
          <t>Focale fy (px)</t>
        </is>
      </c>
      <c r="B39" s="15">
        <f>5_Nos_chiffres!C6</f>
        <v/>
      </c>
    </row>
    <row r="40">
      <c r="A40" s="13" t="inlineStr">
        <is>
          <t>Erreur RMS de reprojection (px)</t>
        </is>
      </c>
      <c r="B40" s="16">
        <f>4_Calibration!C26</f>
        <v/>
      </c>
    </row>
    <row r="41">
      <c r="A41" s="13" t="inlineStr">
        <is>
          <t>Vues utilisees</t>
        </is>
      </c>
      <c r="B41" s="17">
        <f>4_Calibration!C21</f>
        <v/>
      </c>
    </row>
    <row r="42">
      <c r="A42" s="13" t="inlineStr">
        <is>
          <t>fx prevu sous l'eau (px)</t>
        </is>
      </c>
      <c r="B42" s="15">
        <f>6_Sous_leau!C21</f>
        <v/>
      </c>
    </row>
    <row r="43">
      <c r="A43" s="13" t="inlineStr">
        <is>
          <t>fy prevu sous l'eau (px)</t>
        </is>
      </c>
      <c r="B43" s="15">
        <f>6_Sous_leau!C22</f>
        <v/>
      </c>
    </row>
  </sheetData>
  <mergeCells count="30">
    <mergeCell ref="B24:H24"/>
    <mergeCell ref="A36:H36"/>
    <mergeCell ref="A11:H11"/>
    <mergeCell ref="B33:H33"/>
    <mergeCell ref="A1:H1"/>
    <mergeCell ref="B43:C43"/>
    <mergeCell ref="B39:C39"/>
    <mergeCell ref="B32:H32"/>
    <mergeCell ref="B26:H26"/>
    <mergeCell ref="A7:H7"/>
    <mergeCell ref="B42:C42"/>
    <mergeCell ref="B25:H25"/>
    <mergeCell ref="B22:H22"/>
    <mergeCell ref="B38:C38"/>
    <mergeCell ref="B27:H27"/>
    <mergeCell ref="A2:H2"/>
    <mergeCell ref="B37:C37"/>
    <mergeCell ref="A5:H5"/>
    <mergeCell ref="B40:C40"/>
    <mergeCell ref="A8:H8"/>
    <mergeCell ref="B23:H23"/>
    <mergeCell ref="A4:H4"/>
    <mergeCell ref="A20:H20"/>
    <mergeCell ref="A10:H10"/>
    <mergeCell ref="B34:H34"/>
    <mergeCell ref="A13:H13"/>
    <mergeCell ref="B29:H29"/>
    <mergeCell ref="B41:C41"/>
    <mergeCell ref="A31:H31"/>
    <mergeCell ref="B28:H28"/>
  </mergeCells>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49"/>
  <sheetViews>
    <sheetView showGridLines="0" workbookViewId="0">
      <selection activeCell="A1" sqref="A1"/>
    </sheetView>
  </sheetViews>
  <sheetFormatPr baseColWidth="8" defaultRowHeight="15"/>
  <cols>
    <col width="20" customWidth="1" min="1" max="1"/>
    <col width="22" customWidth="1" min="2" max="2"/>
    <col width="22" customWidth="1" min="3" max="3"/>
    <col width="22" customWidth="1" min="4" max="4"/>
    <col width="16" customWidth="1" min="5" max="5"/>
    <col width="14" customWidth="1" min="6" max="6"/>
    <col width="14" customWidth="1" min="7" max="7"/>
    <col width="14" customWidth="1" min="8" max="8"/>
  </cols>
  <sheetData>
    <row r="1" ht="30" customHeight="1">
      <c r="A1" s="1" t="inlineStr">
        <is>
          <t>1. LA FONCTION, ETAPE PAR ETAPE</t>
        </is>
      </c>
    </row>
    <row r="2" ht="24" customHeight="1">
      <c r="A2" s="2" t="inlineStr">
        <is>
          <t>De la position d'un point dans le bassin au pixel dans l'image.</t>
        </is>
      </c>
    </row>
    <row r="4" ht="20" customHeight="1">
      <c r="A4" s="3" t="inlineStr">
        <is>
          <t>CE QU'ON CHERCHE</t>
        </is>
      </c>
    </row>
    <row r="5" ht="46" customHeight="1">
      <c r="A5" s="4" t="inlineStr">
        <is>
          <t>Une camera transforme un point de l'espace en un point de l'image. C'est une fonction : elle prend trois nombres (X, Y, Z) et en rend deux (u, v). Sa FORME est connue d'avance — c'est de la geometrie. Ce sont ses COEFFICIENTS qui sont propres a chaque exemplaire de camera, et c'est eux que la calibration mesure.</t>
        </is>
      </c>
    </row>
    <row r="7" ht="24" customHeight="1">
      <c r="A7" s="5" t="inlineStr">
        <is>
          <t>pi :  R3  -&gt;  R2        (X, Y, Z)  |-&gt;  (u, v)</t>
        </is>
      </c>
    </row>
    <row r="9" ht="20" customHeight="1">
      <c r="A9" s="3" t="inlineStr">
        <is>
          <t>ETAPE 1 — DU MONDE A LA CAMERA   (parametres EXTRINSEQUES)</t>
        </is>
      </c>
    </row>
    <row r="10" ht="28" customHeight="1">
      <c r="A10" s="4" t="inlineStr">
        <is>
          <t>On exprime d'abord le point dans le repere de la camera plutot que dans celui du bassin : une rotation suivie d'une translation. C'est un deplacement rigide, il ne deforme rien.</t>
        </is>
      </c>
    </row>
    <row r="11" ht="24" customHeight="1">
      <c r="A11" s="5" t="inlineStr">
        <is>
          <t>Pc = R . M + t          R : rotation 3x3 (3 libertes) , t : translation (3 libertes)</t>
        </is>
      </c>
    </row>
    <row r="12" ht="46" customHeight="1">
      <c r="A12" s="4" t="inlineStr">
        <is>
          <t>R et t decrivent OU EST LA CAMERA, pas comment elle est faite. Ils changent a chaque image : ce ne sont donc pas eux qu'on calibre. Mais il faut les estimer en meme temps, car on ne peut pas les separer du reste. On stocke R sous forme d'un vecteur de Rodrigues (3 nombres) : une rotation n'a que 3 degres de liberte, pas 9.</t>
        </is>
      </c>
    </row>
    <row r="14" ht="20" customHeight="1">
      <c r="A14" s="3" t="inlineStr">
        <is>
          <t>ETAPE 2 — LA PROJECTION CENTRALE   (aucun parametre)</t>
        </is>
      </c>
    </row>
    <row r="15" ht="28" customHeight="1">
      <c r="A15" s="4" t="inlineStr">
        <is>
          <t>C'est le cœur du modele stenope ("pinhole") : tout rayon passe par un point unique, le centre optique. Par le theoreme de Thales, un objet deux fois plus loin parait deux fois plus petit.</t>
        </is>
      </c>
    </row>
    <row r="16" ht="24" customHeight="1">
      <c r="A16" s="5" t="inlineStr">
        <is>
          <t>x = Xc / Zc            y = Yc / Zc</t>
        </is>
      </c>
    </row>
    <row r="17" ht="60" customHeight="1">
      <c r="A17" s="4" t="inlineStr">
        <is>
          <t>Cette division par Zc est la SEULE non-linearite du modele ideal, et c'est elle qui porte toute l'information de distance. Les coordonnees (x, y) obtenues sont sans unite : elles decrivent une DIRECTION, pas une position. C'est pourquoi une image seule ne donne jamais la distance — il faut connaitre la taille reelle de l'objet. Dans notre projet, c'est le cote connu du tag (22.3 cm) qui leve l'ambiguite.</t>
        </is>
      </c>
    </row>
    <row r="19" ht="20" customHeight="1">
      <c r="A19" s="3" t="inlineStr">
        <is>
          <t>ETAPE 3 — LA DISTORSION   (5 parametres)</t>
        </is>
      </c>
    </row>
    <row r="20" ht="32" customHeight="1">
      <c r="A20" s="4" t="inlineStr">
        <is>
          <t>Une vraie lentille n'obeit pas exactement au stenope : les rayons qui la traversent loin du centre sont devies un peu trop, ou pas assez. On corrige par un polynome en r, la distance au centre optique. Detail dans l'onglet 3_Distorsion.</t>
        </is>
      </c>
    </row>
    <row r="21" ht="24" customHeight="1">
      <c r="A21" s="5" t="inlineStr">
        <is>
          <t>r2 = x2 + y2     xd = x.(1 + k1.r2 + k2.r4 + k3.r6) + 2.p1.x.y + p2.(r2 + 2x2)</t>
        </is>
      </c>
    </row>
    <row r="22" ht="24" customHeight="1">
      <c r="A22" s="5" t="inlineStr">
        <is>
          <t xml:space="preserve">                 yd = y.(1 + k1.r2 + k2.r4 + k3.r6) + p1.(r2 + 2y2) + 2.p2.x.y</t>
        </is>
      </c>
    </row>
    <row r="24" ht="20" customHeight="1">
      <c r="A24" s="3" t="inlineStr">
        <is>
          <t>ETAPE 4 — DU PLAN IMAGE AUX PIXELS   (parametres INTRINSEQUES)</t>
        </is>
      </c>
    </row>
    <row r="25" ht="18" customHeight="1">
      <c r="A25" s="4" t="inlineStr">
        <is>
          <t>Enfin on passe des coordonnees normalisees aux pixels : un simple changement d'echelle et d'origine.</t>
        </is>
      </c>
    </row>
    <row r="26" ht="24" customHeight="1">
      <c r="A26" s="5" t="inlineStr">
        <is>
          <t>u = fx . xd + cx            v = fy . yd + cy</t>
        </is>
      </c>
    </row>
    <row r="27" ht="16" customHeight="1">
      <c r="A27" s="4" t="inlineStr">
        <is>
          <t>Sous forme matricielle, en coordonnees homogenes :</t>
        </is>
      </c>
    </row>
    <row r="28" ht="24" customHeight="1">
      <c r="A28" s="5" t="inlineStr">
        <is>
          <t>K  =  [ fx   0   cx  ;   0   fy   cy  ;   0    0    1 ]</t>
        </is>
      </c>
    </row>
    <row r="30" ht="20" customHeight="1">
      <c r="A30" s="3" t="inlineStr">
        <is>
          <t>TABLEAU DES SYMBOLES</t>
        </is>
      </c>
    </row>
    <row r="31">
      <c r="A31" s="6" t="inlineStr">
        <is>
          <t>Symbole</t>
        </is>
      </c>
      <c r="B31" s="6" t="inlineStr">
        <is>
          <t>Nom</t>
        </is>
      </c>
      <c r="C31" s="6" t="inlineStr">
        <is>
          <t>Unite</t>
        </is>
      </c>
      <c r="D31" s="6" t="inlineStr">
        <is>
          <t>Ce que c'est physiquement</t>
        </is>
      </c>
    </row>
    <row r="32">
      <c r="A32" s="7" t="inlineStr">
        <is>
          <t>M = (X,Y,Z)</t>
        </is>
      </c>
      <c r="B32" s="7" t="inlineStr">
        <is>
          <t>point objet</t>
        </is>
      </c>
      <c r="C32" s="7" t="inlineStr">
        <is>
          <t>metres</t>
        </is>
      </c>
      <c r="D32" s="7" t="inlineStr">
        <is>
          <t>un coin de tag dans le repere du bassin</t>
        </is>
      </c>
    </row>
    <row r="33">
      <c r="A33" s="7" t="inlineStr">
        <is>
          <t>R, t</t>
        </is>
      </c>
      <c r="B33" s="7" t="inlineStr">
        <is>
          <t>pose de la camera</t>
        </is>
      </c>
      <c r="C33" s="7" t="inlineStr">
        <is>
          <t>— / metres</t>
        </is>
      </c>
      <c r="D33" s="7" t="inlineStr">
        <is>
          <t>ou est la camera au moment de la prise</t>
        </is>
      </c>
    </row>
    <row r="34">
      <c r="A34" s="7" t="inlineStr">
        <is>
          <t>(x, y)</t>
        </is>
      </c>
      <c r="B34" s="7" t="inlineStr">
        <is>
          <t>coord. normalisees</t>
        </is>
      </c>
      <c r="C34" s="7" t="inlineStr">
        <is>
          <t>sans unite</t>
        </is>
      </c>
      <c r="D34" s="7" t="inlineStr">
        <is>
          <t>direction du rayon : tangente de l'angle</t>
        </is>
      </c>
    </row>
    <row r="35">
      <c r="A35" s="7" t="inlineStr">
        <is>
          <t>r</t>
        </is>
      </c>
      <c r="B35" s="7" t="inlineStr">
        <is>
          <t>rayon normalise</t>
        </is>
      </c>
      <c r="C35" s="7" t="inlineStr">
        <is>
          <t>sans unite</t>
        </is>
      </c>
      <c r="D35" s="7" t="inlineStr">
        <is>
          <t>distance au centre optique, plan normalise</t>
        </is>
      </c>
    </row>
    <row r="36">
      <c r="A36" s="7" t="inlineStr">
        <is>
          <t>fx, fy</t>
        </is>
      </c>
      <c r="B36" s="7" t="inlineStr">
        <is>
          <t>focales</t>
        </is>
      </c>
      <c r="C36" s="7" t="inlineStr">
        <is>
          <t>pixels</t>
        </is>
      </c>
      <c r="D36" s="7" t="inlineStr">
        <is>
          <t>focale en mm divisee par la taille d'un pixel</t>
        </is>
      </c>
    </row>
    <row r="37">
      <c r="A37" s="7" t="inlineStr">
        <is>
          <t>cx, cy</t>
        </is>
      </c>
      <c r="B37" s="7" t="inlineStr">
        <is>
          <t>point principal</t>
        </is>
      </c>
      <c r="C37" s="7" t="inlineStr">
        <is>
          <t>pixels</t>
        </is>
      </c>
      <c r="D37" s="7" t="inlineStr">
        <is>
          <t>ou l'axe optique perce le capteur</t>
        </is>
      </c>
    </row>
    <row r="38">
      <c r="A38" s="7" t="inlineStr">
        <is>
          <t>k1, k2, k3</t>
        </is>
      </c>
      <c r="B38" s="7" t="inlineStr">
        <is>
          <t>distorsion radiale</t>
        </is>
      </c>
      <c r="C38" s="7" t="inlineStr">
        <is>
          <t>sans unite</t>
        </is>
      </c>
      <c r="D38" s="7" t="inlineStr">
        <is>
          <t>l'effet barillet ou coussinet</t>
        </is>
      </c>
    </row>
    <row r="39">
      <c r="A39" s="7" t="inlineStr">
        <is>
          <t>p1, p2</t>
        </is>
      </c>
      <c r="B39" s="7" t="inlineStr">
        <is>
          <t>distorsion tangentielle</t>
        </is>
      </c>
      <c r="C39" s="7" t="inlineStr">
        <is>
          <t>sans unite</t>
        </is>
      </c>
      <c r="D39" s="7" t="inlineStr">
        <is>
          <t>lentille non parallele au capteur</t>
        </is>
      </c>
    </row>
    <row r="40">
      <c r="A40" s="7" t="inlineStr">
        <is>
          <t>(u, v)</t>
        </is>
      </c>
      <c r="B40" s="7" t="inlineStr">
        <is>
          <t>pixel</t>
        </is>
      </c>
      <c r="C40" s="7" t="inlineStr">
        <is>
          <t>pixels</t>
        </is>
      </c>
      <c r="D40" s="7" t="inlineStr">
        <is>
          <t>ce que le detecteur d'AprilTag mesure</t>
        </is>
      </c>
    </row>
    <row r="42" ht="20" customHeight="1">
      <c r="A42" s="3" t="inlineStr">
        <is>
          <t>POURQUOI DEUX FOCALES ET PAS UNE</t>
        </is>
      </c>
    </row>
    <row r="43" ht="60" customHeight="1">
      <c r="A43" s="4" t="inlineStr">
        <is>
          <t>fx et fy sont la meme focale physique exprimee dans deux unites : le pas des pixels en horizontal et en vertical. Sur un capteur a pixels carres, fx = fy. Notre cas est particulier : la camera est couchee dans le tube et regarde a travers la paroi cylindrique, si bien que les deux axes de l'image ne traversent PAS la meme optique. L'ecart entre fx et fy devient alors physique — et il explose sous l'eau (onglet 6_Sous_leau).</t>
        </is>
      </c>
    </row>
    <row r="45" ht="20" customHeight="1">
      <c r="A45" s="3" t="inlineStr">
        <is>
          <t>COMBIEN D'INCONNUES EN TOUT</t>
        </is>
      </c>
    </row>
    <row r="46">
      <c r="A46" s="13" t="inlineStr">
        <is>
          <t>Intrinseques (K)</t>
        </is>
      </c>
      <c r="B46" s="18" t="n">
        <v>4</v>
      </c>
      <c r="C46" s="7" t="inlineStr">
        <is>
          <t>fx, fy, cx, cy — le "skew" est suppose nul</t>
        </is>
      </c>
    </row>
    <row r="47">
      <c r="A47" s="13" t="inlineStr">
        <is>
          <t>Distorsion (d)</t>
        </is>
      </c>
      <c r="B47" s="18" t="n">
        <v>5</v>
      </c>
      <c r="C47" s="7" t="inlineStr">
        <is>
          <t>k1, k2, p1, p2, k3 — modele plumb_bob d'OpenCV</t>
        </is>
      </c>
    </row>
    <row r="48">
      <c r="A48" s="13" t="inlineStr">
        <is>
          <t>Extrinseques, par vue</t>
        </is>
      </c>
      <c r="B48" s="18" t="n">
        <v>6</v>
      </c>
      <c r="C48" s="7" t="inlineStr">
        <is>
          <t>3 pour la rotation + 3 pour la translation</t>
        </is>
      </c>
    </row>
    <row r="49">
      <c r="A49" s="19" t="inlineStr">
        <is>
          <t>TOTAL pour nos 31 vues</t>
        </is>
      </c>
      <c r="B49" s="20">
        <f>B46+B47+B48*4_Calibration!C21</f>
        <v/>
      </c>
      <c r="C49" s="7" t="inlineStr">
        <is>
          <t>seuls les 9 premiers nous interessent ; les autres sont le prix a payer pour les obtenir</t>
        </is>
      </c>
    </row>
  </sheetData>
  <mergeCells count="30">
    <mergeCell ref="A9:H9"/>
    <mergeCell ref="C47:H47"/>
    <mergeCell ref="A30:H30"/>
    <mergeCell ref="A15:H15"/>
    <mergeCell ref="A24:H24"/>
    <mergeCell ref="A11:H11"/>
    <mergeCell ref="A1:H1"/>
    <mergeCell ref="A45:H45"/>
    <mergeCell ref="C46:H46"/>
    <mergeCell ref="A7:H7"/>
    <mergeCell ref="A25:H25"/>
    <mergeCell ref="A16:H16"/>
    <mergeCell ref="C48:H48"/>
    <mergeCell ref="A27:H27"/>
    <mergeCell ref="A12:H12"/>
    <mergeCell ref="A26:H26"/>
    <mergeCell ref="A21:H21"/>
    <mergeCell ref="A2:H2"/>
    <mergeCell ref="A42:H42"/>
    <mergeCell ref="A14:H14"/>
    <mergeCell ref="C49:H49"/>
    <mergeCell ref="A5:H5"/>
    <mergeCell ref="A22:H22"/>
    <mergeCell ref="A17:H17"/>
    <mergeCell ref="A4:H4"/>
    <mergeCell ref="A20:H20"/>
    <mergeCell ref="A43:H43"/>
    <mergeCell ref="A10:H10"/>
    <mergeCell ref="A28:H28"/>
    <mergeCell ref="A19:H19"/>
  </mergeCells>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50"/>
  <sheetViews>
    <sheetView showGridLines="0" workbookViewId="0">
      <selection activeCell="A1" sqref="A1"/>
    </sheetView>
  </sheetViews>
  <sheetFormatPr baseColWidth="8" defaultRowHeight="15"/>
  <cols>
    <col width="34" customWidth="1" min="1" max="1"/>
    <col width="14" customWidth="1" min="2" max="2"/>
    <col width="14" customWidth="1" min="3" max="3"/>
    <col width="14" customWidth="1" min="4" max="4"/>
    <col width="12" customWidth="1" min="5" max="5"/>
    <col width="44" customWidth="1" min="6" max="6"/>
    <col width="12" customWidth="1" min="7" max="7"/>
    <col width="12" customWidth="1" min="8" max="8"/>
  </cols>
  <sheetData>
    <row r="1" ht="30" customHeight="1">
      <c r="A1" s="1" t="inlineStr">
        <is>
          <t>2. UN POINT POUSSE DANS LA FONCTION</t>
        </is>
      </c>
    </row>
    <row r="2" ht="24" customHeight="1">
      <c r="A2" s="2" t="inlineStr">
        <is>
          <t>Toutes les cellules bleues sont modifiables : change-les et le pixel final se recalcule.</t>
        </is>
      </c>
    </row>
    <row r="4" ht="20" customHeight="1">
      <c r="A4" s="3" t="inlineStr">
        <is>
          <t>ENTREE — UN POINT DE L'ESPACE</t>
        </is>
      </c>
    </row>
    <row r="5">
      <c r="A5" s="21" t="inlineStr">
        <is>
          <t>Point M dans le repere du monde</t>
        </is>
      </c>
    </row>
    <row r="6">
      <c r="A6" s="13" t="inlineStr">
        <is>
          <t>X (m)</t>
        </is>
      </c>
      <c r="B6" s="22" t="n">
        <v>0.3</v>
      </c>
      <c r="F6" s="23" t="inlineStr">
        <is>
          <t>vers la droite</t>
        </is>
      </c>
    </row>
    <row r="7">
      <c r="A7" s="13" t="inlineStr">
        <is>
          <t>Y (m)</t>
        </is>
      </c>
      <c r="B7" s="22" t="n">
        <v>0.15</v>
      </c>
      <c r="F7" s="23" t="inlineStr">
        <is>
          <t>vers le bas</t>
        </is>
      </c>
    </row>
    <row r="8">
      <c r="A8" s="13" t="inlineStr">
        <is>
          <t>Z (m)</t>
        </is>
      </c>
      <c r="B8" s="22" t="n">
        <v>2</v>
      </c>
      <c r="F8" s="23" t="inlineStr">
        <is>
          <t>vers l'avant : la distance a la camera</t>
        </is>
      </c>
    </row>
    <row r="10">
      <c r="A10" s="21" t="inlineStr">
        <is>
          <t>Pose de la camera : rotation R (3x3) et translation t (3x1)</t>
        </is>
      </c>
      <c r="E10" s="24" t="inlineStr">
        <is>
          <t>t</t>
        </is>
      </c>
    </row>
    <row r="11" ht="26" customHeight="1">
      <c r="A11" s="25" t="inlineStr">
        <is>
          <t>Par defaut R = identite et t = 0 : le repere du monde EST celui de la camera. Modifie-les pour deplacer la camera.</t>
        </is>
      </c>
    </row>
    <row r="12">
      <c r="A12" s="13" t="inlineStr">
        <is>
          <t>R  ligne 1</t>
        </is>
      </c>
      <c r="B12" s="26" t="n">
        <v>1</v>
      </c>
      <c r="C12" s="26" t="n">
        <v>0</v>
      </c>
      <c r="D12" s="26" t="n">
        <v>0</v>
      </c>
      <c r="E12" s="22" t="n">
        <v>0</v>
      </c>
    </row>
    <row r="13">
      <c r="A13" s="13" t="inlineStr">
        <is>
          <t>R  ligne 2</t>
        </is>
      </c>
      <c r="B13" s="26" t="n">
        <v>0</v>
      </c>
      <c r="C13" s="26" t="n">
        <v>1</v>
      </c>
      <c r="D13" s="26" t="n">
        <v>0</v>
      </c>
      <c r="E13" s="22" t="n">
        <v>0</v>
      </c>
    </row>
    <row r="14">
      <c r="A14" s="13" t="inlineStr">
        <is>
          <t>R  ligne 3</t>
        </is>
      </c>
      <c r="B14" s="26" t="n">
        <v>0</v>
      </c>
      <c r="C14" s="26" t="n">
        <v>0</v>
      </c>
      <c r="D14" s="26" t="n">
        <v>1</v>
      </c>
      <c r="E14" s="22" t="n">
        <v>0</v>
      </c>
    </row>
    <row r="16" ht="20" customHeight="1">
      <c r="A16" s="3" t="inlineStr">
        <is>
          <t>ETAPE 1 — REPERE MONDE VERS CAMERA :  Pc = R.M + t</t>
        </is>
      </c>
    </row>
    <row r="17">
      <c r="A17" s="13" t="inlineStr">
        <is>
          <t>Xc (m)</t>
        </is>
      </c>
      <c r="B17" s="27">
        <f>B12*$B$6+C12*$B$7+D12*$B$8+E12</f>
        <v/>
      </c>
      <c r="F17" s="23" t="inlineStr">
        <is>
          <t>produit matriciel ecrit terme a terme</t>
        </is>
      </c>
    </row>
    <row r="18">
      <c r="A18" s="13" t="inlineStr">
        <is>
          <t>Yc (m)</t>
        </is>
      </c>
      <c r="B18" s="27">
        <f>B13*$B$6+C13*$B$7+D13*$B$8+E13</f>
        <v/>
      </c>
    </row>
    <row r="19">
      <c r="A19" s="13" t="inlineStr">
        <is>
          <t>Zc (m)</t>
        </is>
      </c>
      <c r="B19" s="27">
        <f>B14*$B$6+C14*$B$7+D14*$B$8+E14</f>
        <v/>
      </c>
    </row>
    <row r="21" ht="20" customHeight="1">
      <c r="A21" s="3" t="inlineStr">
        <is>
          <t>ETAPE 2 — PROJECTION CENTRALE :  x = Xc/Zc ,  y = Yc/Zc</t>
        </is>
      </c>
    </row>
    <row r="22" ht="26" customHeight="1">
      <c r="A22" s="13" t="inlineStr">
        <is>
          <t>x (normalise)</t>
        </is>
      </c>
      <c r="B22" s="28">
        <f>IF($B$19&lt;=0,"",$B$17/$B$19)</f>
        <v/>
      </c>
      <c r="F22" s="29" t="inlineStr">
        <is>
          <t>sans unite : tangente de l'angle avec l'axe optique. Vide si le point est derriere la camera.</t>
        </is>
      </c>
    </row>
    <row r="23">
      <c r="A23" s="13" t="inlineStr">
        <is>
          <t>y (normalise)</t>
        </is>
      </c>
      <c r="B23" s="28">
        <f>IF($B$19&lt;=0,"",$B$18/$B$19)</f>
        <v/>
      </c>
    </row>
    <row r="25" ht="20" customHeight="1">
      <c r="A25" s="3" t="inlineStr">
        <is>
          <t>ETAPE 3 — DISTORSION</t>
        </is>
      </c>
    </row>
    <row r="26">
      <c r="A26" s="13" t="inlineStr">
        <is>
          <t>r2 = x2 + y2</t>
        </is>
      </c>
      <c r="B26" s="28">
        <f>B22^2+B23^2</f>
        <v/>
      </c>
    </row>
    <row r="27">
      <c r="A27" s="13" t="inlineStr">
        <is>
          <t>r  (rayon normalise)</t>
        </is>
      </c>
      <c r="B27" s="28">
        <f>SQRT(B26)</f>
        <v/>
      </c>
    </row>
    <row r="28">
      <c r="A28" s="13" t="inlineStr">
        <is>
          <t>facteur radial  1+k1.r2+k2.r4+k3.r6</t>
        </is>
      </c>
      <c r="B28" s="28">
        <f>1+5_Nos_chiffres!$C$9*B26+5_Nos_chiffres!$C$10*B26^2+5_Nos_chiffres!$C$13*B26^3</f>
        <v/>
      </c>
      <c r="F28" s="29" t="inlineStr">
        <is>
          <t>k1, k2, k3, p1, p2 viennent de l'onglet 5_Nos_chiffres</t>
        </is>
      </c>
    </row>
    <row r="29">
      <c r="A29" s="13" t="inlineStr">
        <is>
          <t>terme tangentiel en x</t>
        </is>
      </c>
      <c r="B29" s="28">
        <f>2*5_Nos_chiffres!$C$11*B22*B23+5_Nos_chiffres!$C$12*(B26+2*B22^2)</f>
        <v/>
      </c>
    </row>
    <row r="30">
      <c r="A30" s="13" t="inlineStr">
        <is>
          <t>terme tangentiel en y</t>
        </is>
      </c>
      <c r="B30" s="28">
        <f>5_Nos_chiffres!$C$11*(B26+2*B23^2)+2*5_Nos_chiffres!$C$12*B22*B23</f>
        <v/>
      </c>
    </row>
    <row r="31">
      <c r="A31" s="13" t="inlineStr">
        <is>
          <t>xd  (x distordu)</t>
        </is>
      </c>
      <c r="B31" s="28">
        <f>B22*B28+B29</f>
        <v/>
      </c>
    </row>
    <row r="32">
      <c r="A32" s="13" t="inlineStr">
        <is>
          <t>yd  (y distordu)</t>
        </is>
      </c>
      <c r="B32" s="28">
        <f>B23*B28+B30</f>
        <v/>
      </c>
    </row>
    <row r="34" ht="20" customHeight="1">
      <c r="A34" s="3" t="inlineStr">
        <is>
          <t>ETAPE 4 — PIXELS :  u = fx . xd + cx  ,  v = fy . yd + cy</t>
        </is>
      </c>
    </row>
    <row r="35" ht="26" customHeight="1">
      <c r="A35" s="19" t="inlineStr">
        <is>
          <t>u  (colonne, px)</t>
        </is>
      </c>
      <c r="B35" s="30">
        <f>5_Nos_chiffres!$C$5*B31+5_Nos_chiffres!$C$7</f>
        <v/>
      </c>
      <c r="F35" s="29" t="inlineStr">
        <is>
          <t>voila le pixel ou la camera voit le point : la fonction de calibration, appliquee.</t>
        </is>
      </c>
    </row>
    <row r="36">
      <c r="A36" s="19" t="inlineStr">
        <is>
          <t>v  (ligne, px)</t>
        </is>
      </c>
      <c r="B36" s="30">
        <f>5_Nos_chiffres!$C$6*B32+5_Nos_chiffres!$C$8</f>
        <v/>
      </c>
    </row>
    <row r="37">
      <c r="A37" s="13" t="inlineStr">
        <is>
          <t>dans l'image 640x480 ?</t>
        </is>
      </c>
      <c r="B37" s="13">
        <f>IF(AND(B35&gt;=0,B35&lt;=640,B36&gt;=0,B36&lt;=480),"oui","hors cadre")</f>
        <v/>
      </c>
    </row>
    <row r="39" ht="20" customHeight="1">
      <c r="A39" s="3" t="inlineStr">
        <is>
          <t>LA FONCTION FINALE — RECAPITULATIF</t>
        </is>
      </c>
    </row>
    <row r="40" ht="22" customHeight="1">
      <c r="A40" s="31" t="inlineStr">
        <is>
          <t>u  =  fx . [ x.(1 + k1.r² + k2.r⁴ + k3.r⁶) + 2.p1.x.y + p2.(r² + 2x²) ]  +  cx</t>
        </is>
      </c>
    </row>
    <row r="41" ht="22" customHeight="1">
      <c r="A41" s="31" t="inlineStr">
        <is>
          <t>v  =  fy . [ y.(1 + k1.r² + k2.r⁴ + k3.r⁶) + p1.(r² + 2y²) + 2.p2.x.y ]  +  cy</t>
        </is>
      </c>
    </row>
    <row r="42" ht="20" customHeight="1">
      <c r="A42" s="32" t="inlineStr">
        <is>
          <t>ou  x = Xc/Zc ,  y = Yc/Zc ,  r² = x² + y² ,  et  (Xc, Yc, Zc) = R . (X, Y, Z) + t</t>
        </is>
      </c>
    </row>
    <row r="43" ht="20" customHeight="1">
      <c r="A43" s="33" t="inlineStr">
        <is>
          <t>Les 9 parametres trouves par la calibration :  fx=595.79  fy=607.52  cx=323.49  cy=258.52  k1=-0.0046  k2=1.047  p1=0.0080  p2=0.0027  k3=-3.430</t>
        </is>
      </c>
    </row>
    <row r="45" ht="20" customHeight="1">
      <c r="A45" s="3" t="inlineStr">
        <is>
          <t>LE CHEMIN INVERSE — CE QUI SERT DANS LE PROJET</t>
        </is>
      </c>
    </row>
    <row r="46" ht="42" customHeight="1">
      <c r="A46" s="4" t="inlineStr">
        <is>
          <t>Une image seule ne donne pas la distance : (x, y) n'est qu'une direction. Mais si l'objet a une taille CONNUE, on la retrouve. Pour un tag de cote S vu de face a la distance d, son cote apparent vaut s = fx.S/d, d'ou :</t>
        </is>
      </c>
    </row>
    <row r="47" ht="24" customHeight="1">
      <c r="A47" s="5" t="inlineStr">
        <is>
          <t>d  =  fx . S / s</t>
        </is>
      </c>
    </row>
    <row r="48">
      <c r="A48" s="13" t="inlineStr">
        <is>
          <t>Cote reel du tag S (m)</t>
        </is>
      </c>
      <c r="B48" s="22" t="n">
        <v>0.223</v>
      </c>
      <c r="F48" s="23" t="inlineStr">
        <is>
          <t>les deux tags du bassin : 0.223 m et 0.115 m</t>
        </is>
      </c>
    </row>
    <row r="49">
      <c r="A49" s="13" t="inlineStr">
        <is>
          <t>Cote apparent mesure s (px)</t>
        </is>
      </c>
      <c r="B49" s="34" t="n">
        <v>136</v>
      </c>
    </row>
    <row r="50" ht="46" customHeight="1">
      <c r="A50" s="19" t="inlineStr">
        <is>
          <t>Distance calculee d (m)</t>
        </is>
      </c>
      <c r="B50" s="35">
        <f>5_Nos_chiffres!$C$5*B48/B49</f>
        <v/>
      </c>
      <c r="F50" s="29" t="inlineStr">
        <is>
          <t>Mesure au metre le 12/08 : 1.000 m. L'ecart vient de l'inclinaison du tag : la formule ci-dessus le suppose vu de face, alors que solvePnP utilise les 4 coins et gere l'inclinaison.</t>
        </is>
      </c>
    </row>
  </sheetData>
  <mergeCells count="16">
    <mergeCell ref="A41:F41"/>
    <mergeCell ref="A16:F16"/>
    <mergeCell ref="A2:F2"/>
    <mergeCell ref="A11:F11"/>
    <mergeCell ref="A47:F47"/>
    <mergeCell ref="A42:F42"/>
    <mergeCell ref="A46:F46"/>
    <mergeCell ref="A1:F1"/>
    <mergeCell ref="A45:F45"/>
    <mergeCell ref="A34:F34"/>
    <mergeCell ref="A40:F40"/>
    <mergeCell ref="A4:F4"/>
    <mergeCell ref="A21:F21"/>
    <mergeCell ref="A39:F39"/>
    <mergeCell ref="A25:F25"/>
    <mergeCell ref="A43:F43"/>
  </mergeCells>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32"/>
  <sheetViews>
    <sheetView showGridLines="0" workbookViewId="0">
      <selection activeCell="A1" sqref="A1"/>
    </sheetView>
  </sheetViews>
  <sheetFormatPr baseColWidth="8" defaultRowHeight="15"/>
  <cols>
    <col width="34" customWidth="1" min="1" max="1"/>
    <col width="16" customWidth="1" min="2" max="2"/>
    <col width="34" customWidth="1" min="3" max="3"/>
    <col width="16" customWidth="1" min="4" max="4"/>
    <col width="14" customWidth="1" min="5" max="5"/>
    <col width="22" customWidth="1" min="6" max="6"/>
    <col width="12" customWidth="1" min="7" max="7"/>
    <col width="12" customWidth="1" min="8" max="8"/>
  </cols>
  <sheetData>
    <row r="1" ht="30" customHeight="1">
      <c r="A1" s="1" t="inlineStr">
        <is>
          <t>3. LA DISTORSION</t>
        </is>
      </c>
    </row>
    <row r="2" ht="24" customHeight="1">
      <c r="A2" s="2" t="inlineStr">
        <is>
          <t>Le modele plumb_bob (Brown-Conrady), et la validite de nos coefficients.</t>
        </is>
      </c>
    </row>
    <row r="4" ht="20" customHeight="1">
      <c r="A4" s="3" t="inlineStr">
        <is>
          <t>POURQUOI ELLE EXISTE</t>
        </is>
      </c>
    </row>
    <row r="5" ht="46" customHeight="1">
      <c r="A5" s="4" t="inlineStr">
        <is>
          <t>Le stenope suppose que tout rayon file droit par un point unique. Une lentille reelle devie davantage les rayons qui la traversent loin de son centre : une droite du monde devient une courbe dans l'image. C'est d'autant plus marque que l'objectif est grand-angle — et notre camera regarde en plus a travers 4.25 mm d'acrylique.</t>
        </is>
      </c>
    </row>
    <row r="7" ht="20" customHeight="1">
      <c r="A7" s="3" t="inlineStr">
        <is>
          <t>LE MODELE</t>
        </is>
      </c>
    </row>
    <row r="8" ht="24" customHeight="1">
      <c r="A8" s="5" t="inlineStr">
        <is>
          <t>radial :      xr = x . ( 1 + k1.r2 + k2.r4 + k3.r6 )</t>
        </is>
      </c>
    </row>
    <row r="9" ht="24" customHeight="1">
      <c r="A9" s="5" t="inlineStr">
        <is>
          <t>tangentiel :  xd = xr + 2.p1.x.y + p2.(r2 + 2x2)</t>
        </is>
      </c>
    </row>
    <row r="10" ht="42" customHeight="1">
      <c r="A10" s="4" t="inlineStr">
        <is>
          <t>Le terme RADIAL est pair en r : il ne depend que de la distance au centre, pas de la direction. Il traduit la symetrie de revolution d'une lentille. Le terme TANGENTIEL corrige le fait que la lentille n'est jamais parfaitement parallele au capteur ; il reste toujours petit.</t>
        </is>
      </c>
    </row>
    <row r="11" ht="42" customHeight="1">
      <c r="A11" s="4" t="inlineStr">
        <is>
          <t>Pourquoi un polynome, et pourquoi seulement des puissances paires ? Parce qu'une fonction reguliere et invariante par rotation autour du centre ne peut dependre que de r2. On tronque a r6 : au-dela, on ajusterait du bruit plutot que de la physique.</t>
        </is>
      </c>
    </row>
    <row r="13" ht="20" customHeight="1">
      <c r="A13" s="3" t="inlineStr">
        <is>
          <t>NOS COEFFICIENTS   (montage tube_air)</t>
        </is>
      </c>
    </row>
    <row r="14">
      <c r="A14" s="6" t="inlineStr">
        <is>
          <t>Coefficient</t>
        </is>
      </c>
      <c r="B14" s="6" t="inlineStr">
        <is>
          <t>Valeur</t>
        </is>
      </c>
      <c r="C14" s="6" t="inlineStr">
        <is>
          <t>Type</t>
        </is>
      </c>
      <c r="D14" s="6" t="inlineStr">
        <is>
          <t>Ordre de grandeur</t>
        </is>
      </c>
    </row>
    <row r="15">
      <c r="A15" s="19" t="inlineStr">
        <is>
          <t>k1</t>
        </is>
      </c>
      <c r="B15" s="36">
        <f>5_Nos_chiffres!C9</f>
        <v/>
      </c>
      <c r="C15" s="13" t="inlineStr">
        <is>
          <t>radial, terme en r2</t>
        </is>
      </c>
      <c r="D15" s="13" t="inlineStr">
        <is>
          <t>quasi nul</t>
        </is>
      </c>
    </row>
    <row r="16">
      <c r="A16" s="19" t="inlineStr">
        <is>
          <t>k2</t>
        </is>
      </c>
      <c r="B16" s="36">
        <f>5_Nos_chiffres!C10</f>
        <v/>
      </c>
      <c r="C16" s="13" t="inlineStr">
        <is>
          <t>radial, terme en r4</t>
        </is>
      </c>
      <c r="D16" s="13" t="inlineStr">
        <is>
          <t>dominant, positif</t>
        </is>
      </c>
    </row>
    <row r="17">
      <c r="A17" s="19" t="inlineStr">
        <is>
          <t>p1</t>
        </is>
      </c>
      <c r="B17" s="36">
        <f>5_Nos_chiffres!C11</f>
        <v/>
      </c>
      <c r="C17" s="13" t="inlineStr">
        <is>
          <t>tangentiel</t>
        </is>
      </c>
      <c r="D17" s="13" t="inlineStr">
        <is>
          <t>negligeable</t>
        </is>
      </c>
    </row>
    <row r="18">
      <c r="A18" s="19" t="inlineStr">
        <is>
          <t>p2</t>
        </is>
      </c>
      <c r="B18" s="36">
        <f>5_Nos_chiffres!C12</f>
        <v/>
      </c>
      <c r="C18" s="13" t="inlineStr">
        <is>
          <t>tangentiel</t>
        </is>
      </c>
      <c r="D18" s="13" t="inlineStr">
        <is>
          <t>negligeable</t>
        </is>
      </c>
    </row>
    <row r="19">
      <c r="A19" s="19" t="inlineStr">
        <is>
          <t>k3</t>
        </is>
      </c>
      <c r="B19" s="36">
        <f>5_Nos_chiffres!C13</f>
        <v/>
      </c>
      <c r="C19" s="13" t="inlineStr">
        <is>
          <t>radial, terme en r6</t>
        </is>
      </c>
      <c r="D19" s="13" t="inlineStr">
        <is>
          <t>dominant, negatif</t>
        </is>
      </c>
    </row>
    <row r="21" ht="20" customHeight="1">
      <c r="A21" s="3" t="inlineStr">
        <is>
          <t>JUSQU'OU CE POLYNOME EST-IL VALABLE ?</t>
        </is>
      </c>
    </row>
    <row r="22" ht="28" customHeight="1">
      <c r="A22" s="4" t="inlineStr">
        <is>
          <t>Question rarement posee, et pourtant decisive : un polynome ajuste ne vaut que la ou il y avait des donnees. Le rayon normalise r vaut 0 au centre de l'image et atteint son maximum dans les coins.</t>
        </is>
      </c>
    </row>
    <row r="23">
      <c r="A23" s="6" t="inlineStr">
        <is>
          <t>Position dans l'image</t>
        </is>
      </c>
      <c r="B23" s="6" t="inlineStr">
        <is>
          <t>r</t>
        </is>
      </c>
      <c r="C23" s="6" t="inlineStr">
        <is>
          <t>Comment on l'obtient</t>
        </is>
      </c>
    </row>
    <row r="24">
      <c r="A24" s="13" t="inlineStr">
        <is>
          <t>Centre optique</t>
        </is>
      </c>
      <c r="B24" s="27" t="n">
        <v>0</v>
      </c>
      <c r="C24" s="13" t="inlineStr">
        <is>
          <t>nul par construction</t>
        </is>
      </c>
    </row>
    <row r="25">
      <c r="A25" s="13" t="inlineStr">
        <is>
          <t>Milieu du bord droit</t>
        </is>
      </c>
      <c r="B25" s="27">
        <f>(640-5_Nos_chiffres!C7)/5_Nos_chiffres!C5</f>
        <v/>
      </c>
      <c r="C25" s="13" t="inlineStr">
        <is>
          <t>soit (largeur - cx) / fx</t>
        </is>
      </c>
    </row>
    <row r="26">
      <c r="A26" s="13" t="inlineStr">
        <is>
          <t>Coin le plus eloigne du centre</t>
        </is>
      </c>
      <c r="B26" s="27">
        <f>SQRT((5_Nos_chiffres!C7/5_Nos_chiffres!C5)^2+(5_Nos_chiffres!C8/5_Nos_chiffres!C6)^2)</f>
        <v/>
      </c>
      <c r="C26" s="13" t="inlineStr">
        <is>
          <t>coin superieur gauche : SQRT((cx/fx)2 + (cy/fy)2)</t>
        </is>
      </c>
    </row>
    <row r="27">
      <c r="A27" s="19" t="inlineStr">
        <is>
          <t>r ou le modele SE RETOURNE</t>
        </is>
      </c>
      <c r="B27" s="37" t="n">
        <v>0.66</v>
      </c>
      <c r="C27" s="13" t="inlineStr">
        <is>
          <t>au-dela, r.facteur(r) cesse de croitre avec r</t>
        </is>
      </c>
      <c r="F27" s="29" t="inlineStr">
        <is>
          <t>calcule en balayant r de 0 a 1.2</t>
        </is>
      </c>
    </row>
    <row r="29" ht="58" customHeight="1">
      <c r="A29" s="38" t="inlineStr">
        <is>
          <t>CONSTAT : le modele n'est plus inversible au-dela de r = 0.66, alors que les coins de l'image montent a 0.69. Passe ce seuil, deux directions differentes du monde donneraient le meme rayon dans l'image — ce qui est physiquement impossible pour une vraie lentille. Cela ne concerne que 0.17 % des pixels : une bande etroite dans les deux coins superieurs. Sur 99.8 % de l'image, le modele est bien conditionne.</t>
        </is>
      </c>
    </row>
    <row r="31" ht="42" customHeight="1">
      <c r="A31" s="4" t="inlineStr">
        <is>
          <t>D'ou cela vient-il ? k2 = +1.05 et k3 = -3.43 sont grands et de signes opposes : c'est la signature classique d'un polynome d'ordre eleve ajuste sur des donnees qui ne couvraient pas les coins. Le damier n'a probablement pas ete promene jusque dans les angles de l'image.</t>
        </is>
      </c>
    </row>
    <row r="32" ht="28" customHeight="1">
      <c r="A32" s="39" t="inlineStr">
        <is>
          <t>CONSEQUENCE PRATIQUE : un tag detecte tout au bord de l'image sera moins bien corrige que les autres. A la prochaine calibration, penser a couvrir les quatre coins.</t>
        </is>
      </c>
    </row>
  </sheetData>
  <mergeCells count="15">
    <mergeCell ref="A2:F2"/>
    <mergeCell ref="A11:F11"/>
    <mergeCell ref="A10:F10"/>
    <mergeCell ref="A13:F13"/>
    <mergeCell ref="A1:F1"/>
    <mergeCell ref="A5:F5"/>
    <mergeCell ref="A9:F9"/>
    <mergeCell ref="A32:F32"/>
    <mergeCell ref="A8:F8"/>
    <mergeCell ref="A31:F31"/>
    <mergeCell ref="A22:F22"/>
    <mergeCell ref="A4:F4"/>
    <mergeCell ref="A21:F21"/>
    <mergeCell ref="A29:F29"/>
    <mergeCell ref="A7:F7"/>
  </mergeCells>
  <pageMargins left="0.4" right="0.4"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38"/>
  <sheetViews>
    <sheetView showGridLines="0" workbookViewId="0">
      <selection activeCell="A1" sqref="A1"/>
    </sheetView>
  </sheetViews>
  <sheetFormatPr baseColWidth="8" defaultRowHeight="15"/>
  <cols>
    <col width="6" customWidth="1" min="1" max="1"/>
    <col width="32" customWidth="1" min="2" max="2"/>
    <col width="14" customWidth="1" min="3" max="3"/>
    <col width="20" customWidth="1" min="4" max="4"/>
    <col width="16" customWidth="1" min="5" max="5"/>
    <col width="32" customWidth="1" min="6" max="6"/>
    <col width="12" customWidth="1" min="7" max="7"/>
    <col width="12" customWidth="1" min="8" max="8"/>
  </cols>
  <sheetData>
    <row r="1" ht="30" customHeight="1">
      <c r="A1" s="1" t="inlineStr">
        <is>
          <t>4. COMMENT ON TROUVE LES PARAMETRES</t>
        </is>
      </c>
    </row>
    <row r="2" ht="24" customHeight="1">
      <c r="A2" s="2" t="inlineStr">
        <is>
          <t>Le probleme inverse : de quelques photos d'un damier aux 9 nombres de la camera.</t>
        </is>
      </c>
    </row>
    <row r="4" ht="20" customHeight="1">
      <c r="A4" s="3" t="inlineStr">
        <is>
          <t>LE PRINCIPE</t>
        </is>
      </c>
    </row>
    <row r="5" ht="46" customHeight="1">
      <c r="A5" s="4" t="inlineStr">
        <is>
          <t>On ne peut pas mesurer fx au pied a coulisse. En revanche on peut montrer a la camera un objet dont on connait parfaitement la geometrie — un damier imprime — et regarder ou ses coins tombent dans l'image. La fonction de projection doit reproduire ces observations. On cherche donc les parametres qui minimisent l'ecart entre ce qu'on OBSERVE et ce que la fonction PREDIT.</t>
        </is>
      </c>
    </row>
    <row r="7" ht="20" customHeight="1">
      <c r="A7" s="3" t="inlineStr">
        <is>
          <t>CE QU'ON CONNAIT, CE QU'ON CHERCHE</t>
        </is>
      </c>
    </row>
    <row r="8">
      <c r="A8" s="6" t="inlineStr"/>
      <c r="B8" s="6" t="inlineStr">
        <is>
          <t>Quantite</t>
        </is>
      </c>
      <c r="C8" s="6" t="inlineStr">
        <is>
          <t>Statut</t>
        </is>
      </c>
    </row>
    <row r="9" ht="24" customHeight="1">
      <c r="A9" s="19" t="inlineStr">
        <is>
          <t>Mj</t>
        </is>
      </c>
      <c r="B9" s="7" t="inlineStr">
        <is>
          <t>positions 3D des coins du damier</t>
        </is>
      </c>
      <c r="C9" s="7" t="inlineStr">
        <is>
          <t>CONNU — on l'a imprime : carreaux de 50 mm, 6 x 4 coins interieurs</t>
        </is>
      </c>
    </row>
    <row r="10" ht="24" customHeight="1">
      <c r="A10" s="19" t="inlineStr">
        <is>
          <t>mij</t>
        </is>
      </c>
      <c r="B10" s="7" t="inlineStr">
        <is>
          <t>pixels des coins detectes</t>
        </is>
      </c>
      <c r="C10" s="7" t="inlineStr">
        <is>
          <t>MESURE — par findChessboardCorners, affine au sous-pixel</t>
        </is>
      </c>
    </row>
    <row r="11" ht="24" customHeight="1">
      <c r="A11" s="19" t="inlineStr">
        <is>
          <t>K, d</t>
        </is>
      </c>
      <c r="B11" s="7" t="inlineStr">
        <is>
          <t>intrinseques et distorsion</t>
        </is>
      </c>
      <c r="C11" s="7" t="inlineStr">
        <is>
          <t>INCONNU — c'est ce qu'on cherche</t>
        </is>
      </c>
    </row>
    <row r="12" ht="24" customHeight="1">
      <c r="A12" s="19" t="inlineStr">
        <is>
          <t>Ri, ti</t>
        </is>
      </c>
      <c r="B12" s="7" t="inlineStr">
        <is>
          <t>pose du damier a chaque vue</t>
        </is>
      </c>
      <c r="C12" s="7" t="inlineStr">
        <is>
          <t>INCONNU — parametre de nuisance, mais inseparable du reste</t>
        </is>
      </c>
    </row>
    <row r="14" ht="20" customHeight="1">
      <c r="A14" s="3" t="inlineStr">
        <is>
          <t>LA FONCTION DE COUT</t>
        </is>
      </c>
    </row>
    <row r="15" ht="28" customHeight="1">
      <c r="A15" s="4" t="inlineStr">
        <is>
          <t>On somme, sur toutes les vues i et tous les coins j, le carre de la distance entre le pixel observe et le pixel predit. C'est l'ERREUR DE REPROJECTION.</t>
        </is>
      </c>
    </row>
    <row r="16" ht="24" customHeight="1">
      <c r="A16" s="5" t="inlineStr">
        <is>
          <t>E( K, d, {Ri, ti} )  =  SOMME_i  SOMME_j   || mij  -  pi( Mj ; K, d, Ri, ti ) ||2</t>
        </is>
      </c>
    </row>
    <row r="17" ht="42" customHeight="1">
      <c r="A17" s="4" t="inlineStr">
        <is>
          <t>Minimiser E, c'est resoudre un probleme de MOINDRES CARRES NON LINEAIRES : la fonction pi contient une division (etape 2) et un polynome (etape 3), donc E n'est pas quadratique en les parametres. Il n'existe pas de solution analytique — on itere.</t>
        </is>
      </c>
    </row>
    <row r="19" ht="20" customHeight="1">
      <c r="A19" s="3" t="inlineStr">
        <is>
          <t>LE PROBLEME EST-IL BIEN POSE ?</t>
        </is>
      </c>
    </row>
    <row r="20">
      <c r="A20" s="6" t="inlineStr"/>
      <c r="B20" s="6" t="inlineStr">
        <is>
          <t>Quantite</t>
        </is>
      </c>
      <c r="C20" s="6" t="inlineStr">
        <is>
          <t>Valeur</t>
        </is>
      </c>
      <c r="D20" s="6" t="inlineStr">
        <is>
          <t>Commentaire</t>
        </is>
      </c>
    </row>
    <row r="21">
      <c r="B21" s="13" t="inlineStr">
        <is>
          <t>Vues utilisees</t>
        </is>
      </c>
      <c r="C21" s="18" t="n">
        <v>31</v>
      </c>
      <c r="D21" s="7" t="inlineStr">
        <is>
          <t>photos du damier retenues, le 12/08</t>
        </is>
      </c>
    </row>
    <row r="22">
      <c r="B22" s="13" t="inlineStr">
        <is>
          <t>Coins par vue</t>
        </is>
      </c>
      <c r="C22" s="18" t="n">
        <v>24</v>
      </c>
      <c r="D22" s="7" t="inlineStr">
        <is>
          <t>6 x 4 coins interieurs</t>
        </is>
      </c>
    </row>
    <row r="23">
      <c r="B23" s="13" t="inlineStr">
        <is>
          <t>Equations disponibles</t>
        </is>
      </c>
      <c r="C23" s="40">
        <f>C21*C22*2</f>
        <v/>
      </c>
      <c r="D23" s="7" t="inlineStr">
        <is>
          <t>chaque coin donne 2 equations : u et v</t>
        </is>
      </c>
    </row>
    <row r="24">
      <c r="B24" s="13" t="inlineStr">
        <is>
          <t>Inconnues</t>
        </is>
      </c>
      <c r="C24" s="40">
        <f>9+6*C21</f>
        <v/>
      </c>
      <c r="D24" s="7" t="inlineStr">
        <is>
          <t>9 intrinseques + 6 par vue</t>
        </is>
      </c>
    </row>
    <row r="25">
      <c r="B25" s="13" t="inlineStr">
        <is>
          <t>Rapport equations / inconnues</t>
        </is>
      </c>
      <c r="C25" s="41">
        <f>C23/C24</f>
        <v/>
      </c>
      <c r="D25" s="7" t="inlineStr">
        <is>
          <t>au-dela de 3, le systeme est confortablement surdetermine</t>
        </is>
      </c>
    </row>
    <row r="26" ht="26" customHeight="1">
      <c r="B26" s="19" t="inlineStr">
        <is>
          <t>Erreur RMS obtenue (px)</t>
        </is>
      </c>
      <c r="C26" s="42" t="n">
        <v>0.4445</v>
      </c>
      <c r="D26" s="7" t="inlineStr">
        <is>
          <t>valeur renvoyee par cv2.calibrateCamera. Sous 0.5 px, la calibration est consideree bonne.</t>
        </is>
      </c>
    </row>
    <row r="27" ht="42" customHeight="1">
      <c r="A27" s="25" t="inlineStr">
        <is>
          <t>Note : le script affiche aussi une seconde erreur, plus petite (0.0626 px). Elle emploie une autre normalisation — la norme du residu d'une vue divisee par le NOMBRE de points, et non par sa racine carree — et n'est donc pas comparable a une RMS par point. C'est la RMS ci-dessus qui fait foi.</t>
        </is>
      </c>
    </row>
    <row r="29" ht="20" customHeight="1">
      <c r="A29" s="3" t="inlineStr">
        <is>
          <t>L'ALGORITHME, EN DEUX TEMPS</t>
        </is>
      </c>
    </row>
    <row r="30" ht="28" customHeight="1">
      <c r="A30" s="4" t="inlineStr">
        <is>
          <t>Levenberg-Marquardt a besoin d'un point de depart raisonnable, sinon il converge vers un minimum local absurde. D'ou la methode de Zhang (2000), qui fournit une premiere estimation par le calcul direct.</t>
        </is>
      </c>
    </row>
    <row r="31">
      <c r="A31" s="6" t="inlineStr"/>
      <c r="B31" s="6" t="inlineStr">
        <is>
          <t>Etape</t>
        </is>
      </c>
      <c r="C31" s="6" t="inlineStr">
        <is>
          <t>Ce qui se passe</t>
        </is>
      </c>
    </row>
    <row r="32" ht="40" customHeight="1">
      <c r="A32" s="43" t="inlineStr">
        <is>
          <t>A</t>
        </is>
      </c>
      <c r="B32" s="7" t="inlineStr">
        <is>
          <t>Homographie par vue</t>
        </is>
      </c>
      <c r="C32" s="7" t="inlineStr">
        <is>
          <t>Le damier est PLAN : dans son propre repere, Z = 0. La projection d'un plan vers l'image se reduit alors a une homographie H — matrice 3x3 a 8 degres de liberte — que l'on estime lineairement (DLT).</t>
        </is>
      </c>
    </row>
    <row r="33" ht="40" customHeight="1">
      <c r="A33" s="43" t="inlineStr">
        <is>
          <t>B</t>
        </is>
      </c>
      <c r="B33" s="7" t="inlineStr">
        <is>
          <t>Contraintes sur K</t>
        </is>
      </c>
      <c r="C33" s="7" t="inlineStr">
        <is>
          <t>Les deux premieres colonnes d'une matrice de rotation sont orthogonales et de meme norme. Traduit sur H, cela fournit 2 equations lineaires par vue portant sur la matrice B = K^-T . K^-1.</t>
        </is>
      </c>
    </row>
    <row r="34" ht="40" customHeight="1">
      <c r="A34" s="43" t="inlineStr">
        <is>
          <t>C</t>
        </is>
      </c>
      <c r="B34" s="7" t="inlineStr">
        <is>
          <t>K par le calcul</t>
        </is>
      </c>
      <c r="C34" s="7" t="inlineStr">
        <is>
          <t>Avec 3 vues ou plus, on resout ce systeme lineaire en B, puis on remonte a K par une factorisation de Cholesky. On en deduit Ri et ti de chaque vue.</t>
        </is>
      </c>
    </row>
    <row r="35" ht="40" customHeight="1">
      <c r="A35" s="43" t="inlineStr">
        <is>
          <t>D</t>
        </is>
      </c>
      <c r="B35" s="7" t="inlineStr">
        <is>
          <t>Raffinement global</t>
        </is>
      </c>
      <c r="C35" s="7" t="inlineStr">
        <is>
          <t>On lache Levenberg-Marquardt sur TOUS les parametres a la fois — K, distorsion, et les Ri, ti — en minimisant l'erreur de reprojection ci-dessus. C'est ce que fait cv2.calibrateCamera.</t>
        </is>
      </c>
    </row>
    <row r="37" ht="20" customHeight="1">
      <c r="A37" s="3" t="inlineStr">
        <is>
          <t>POURQUOI PLUSIEURS VUES, SOUS DES ANGLES DIFFERENTS</t>
        </is>
      </c>
    </row>
    <row r="38" ht="46" customHeight="1">
      <c r="A38" s="4" t="inlineStr">
        <is>
          <t>Une seule vue frontale ne suffit pas : rien n'y distingue un damier deux fois plus grand place deux fois plus loin. Il faut INCLINER le damier pour que la perspective donne l'echelle, et le promener dans tout le champ pour contraindre la distorsion la ou elle agit — c'est-a-dire loin du centre. C'est exactement ce qui a manque dans les coins (onglet 3_Distorsion).</t>
        </is>
      </c>
    </row>
  </sheetData>
  <mergeCells count="29">
    <mergeCell ref="A16:F16"/>
    <mergeCell ref="A37:F37"/>
    <mergeCell ref="A27:F27"/>
    <mergeCell ref="C32:F32"/>
    <mergeCell ref="A2:F2"/>
    <mergeCell ref="A14:F14"/>
    <mergeCell ref="A5:F5"/>
    <mergeCell ref="C34:F34"/>
    <mergeCell ref="A17:F17"/>
    <mergeCell ref="C33:F33"/>
    <mergeCell ref="A4:F4"/>
    <mergeCell ref="D25:F25"/>
    <mergeCell ref="A29:F29"/>
    <mergeCell ref="D24:F24"/>
    <mergeCell ref="A38:F38"/>
    <mergeCell ref="A19:F19"/>
    <mergeCell ref="D23:F23"/>
    <mergeCell ref="C35:F35"/>
    <mergeCell ref="D26:F26"/>
    <mergeCell ref="C10:F10"/>
    <mergeCell ref="A30:F30"/>
    <mergeCell ref="A15:F15"/>
    <mergeCell ref="C9:F9"/>
    <mergeCell ref="A1:F1"/>
    <mergeCell ref="C12:F12"/>
    <mergeCell ref="D22:F22"/>
    <mergeCell ref="C11:F11"/>
    <mergeCell ref="D21:F21"/>
    <mergeCell ref="A7:F7"/>
  </mergeCells>
  <pageMargins left="0.4" right="0.4" top="0.5" bottom="0.5"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30"/>
  <sheetViews>
    <sheetView showGridLines="0" workbookViewId="0">
      <selection activeCell="A1" sqref="A1"/>
    </sheetView>
  </sheetViews>
  <sheetFormatPr baseColWidth="8" defaultRowHeight="15"/>
  <cols>
    <col width="14" customWidth="1" min="1" max="1"/>
    <col width="20" customWidth="1" min="2" max="2"/>
    <col width="20" customWidth="1" min="3" max="3"/>
    <col width="14" customWidth="1" min="4" max="4"/>
    <col width="4" customWidth="1" min="5" max="5"/>
    <col width="30" customWidth="1" min="6" max="6"/>
    <col width="14" customWidth="1" min="7" max="7"/>
    <col width="14" customWidth="1" min="8" max="8"/>
  </cols>
  <sheetData>
    <row r="1" ht="30" customHeight="1">
      <c r="A1" s="1" t="inlineStr">
        <is>
          <t>5. NOS CHIFFRES</t>
        </is>
      </c>
    </row>
    <row r="2" ht="24" customHeight="1">
      <c r="A2" s="2" t="inlineStr">
        <is>
          <t>Les parametres mesures sur notre exemplaire. Les cellules bleues sont des mesures : elles ne se calculent pas.</t>
        </is>
      </c>
    </row>
    <row r="3" ht="20" customHeight="1">
      <c r="A3" s="3" t="inlineStr">
        <is>
          <t>LES DEUX CALIBRATIONS</t>
        </is>
      </c>
    </row>
    <row r="4">
      <c r="A4" s="6" t="inlineStr">
        <is>
          <t>Parametre</t>
        </is>
      </c>
      <c r="B4" s="6" t="inlineStr">
        <is>
          <t>Camera nue (hors tube)</t>
        </is>
      </c>
      <c r="C4" s="6" t="inlineStr">
        <is>
          <t>Dans le tube (tube_air)</t>
        </is>
      </c>
      <c r="D4" s="6" t="inlineStr">
        <is>
          <t>Ecart</t>
        </is>
      </c>
      <c r="E4" s="6" t="inlineStr"/>
      <c r="F4" s="6" t="inlineStr">
        <is>
          <t>Interpretation</t>
        </is>
      </c>
    </row>
    <row r="5">
      <c r="A5" s="19" t="inlineStr">
        <is>
          <t>fx  (px)</t>
        </is>
      </c>
      <c r="B5" s="26" t="n">
        <v>604.1876</v>
      </c>
      <c r="C5" s="26" t="n">
        <v>595.7891</v>
      </c>
      <c r="D5" s="27">
        <f>C5-B5</f>
        <v/>
      </c>
      <c r="F5" s="7" t="inlineStr">
        <is>
          <t>focale horizontale — le long de l'axe du tube</t>
        </is>
      </c>
    </row>
    <row r="6">
      <c r="A6" s="19" t="inlineStr">
        <is>
          <t>fy  (px)</t>
        </is>
      </c>
      <c r="B6" s="26" t="n">
        <v>602.3668</v>
      </c>
      <c r="C6" s="26" t="n">
        <v>607.521</v>
      </c>
      <c r="D6" s="27">
        <f>C6-B6</f>
        <v/>
      </c>
      <c r="F6" s="7" t="inlineStr">
        <is>
          <t>focale verticale — circonferentielle, a travers le menisque</t>
        </is>
      </c>
    </row>
    <row r="7">
      <c r="A7" s="19" t="inlineStr">
        <is>
          <t>cx  (px)</t>
        </is>
      </c>
      <c r="B7" s="26" t="n">
        <v>326.1973</v>
      </c>
      <c r="C7" s="26" t="n">
        <v>323.4873</v>
      </c>
      <c r="D7" s="27">
        <f>C7-B7</f>
        <v/>
      </c>
      <c r="F7" s="7" t="inlineStr">
        <is>
          <t>point principal, horizontal</t>
        </is>
      </c>
    </row>
    <row r="8">
      <c r="A8" s="19" t="inlineStr">
        <is>
          <t>cy  (px)</t>
        </is>
      </c>
      <c r="B8" s="26" t="n">
        <v>242.885</v>
      </c>
      <c r="C8" s="26" t="n">
        <v>258.5184</v>
      </c>
      <c r="D8" s="27">
        <f>C8-B8</f>
        <v/>
      </c>
      <c r="F8" s="7" t="inlineStr">
        <is>
          <t>point principal, vertical — c'est lui qui bouge le plus</t>
        </is>
      </c>
    </row>
    <row r="9">
      <c r="A9" s="19" t="inlineStr">
        <is>
          <t>k1</t>
        </is>
      </c>
      <c r="B9" s="44" t="n">
        <v>0.013835</v>
      </c>
      <c r="C9" s="44" t="n">
        <v>-0.004641</v>
      </c>
      <c r="D9" s="28">
        <f>C9-B9</f>
        <v/>
      </c>
      <c r="F9" s="7" t="inlineStr">
        <is>
          <t>distorsion radiale, terme en r2</t>
        </is>
      </c>
    </row>
    <row r="10">
      <c r="A10" s="19" t="inlineStr">
        <is>
          <t>k2</t>
        </is>
      </c>
      <c r="B10" s="44" t="n">
        <v>0.733706</v>
      </c>
      <c r="C10" s="44" t="n">
        <v>1.047342</v>
      </c>
      <c r="D10" s="28">
        <f>C10-B10</f>
        <v/>
      </c>
      <c r="F10" s="7" t="inlineStr">
        <is>
          <t>terme en r4</t>
        </is>
      </c>
    </row>
    <row r="11">
      <c r="A11" s="19" t="inlineStr">
        <is>
          <t>p1</t>
        </is>
      </c>
      <c r="B11" s="44" t="n">
        <v>-0.002333</v>
      </c>
      <c r="C11" s="44" t="n">
        <v>0.008000999999999999</v>
      </c>
      <c r="D11" s="28">
        <f>C11-B11</f>
        <v/>
      </c>
      <c r="F11" s="7" t="inlineStr">
        <is>
          <t>tangentiel</t>
        </is>
      </c>
    </row>
    <row r="12">
      <c r="A12" s="19" t="inlineStr">
        <is>
          <t>p2</t>
        </is>
      </c>
      <c r="B12" s="44" t="n">
        <v>0.001136</v>
      </c>
      <c r="C12" s="44" t="n">
        <v>0.002722</v>
      </c>
      <c r="D12" s="28">
        <f>C12-B12</f>
        <v/>
      </c>
      <c r="F12" s="7" t="inlineStr">
        <is>
          <t>tangentiel</t>
        </is>
      </c>
    </row>
    <row r="13">
      <c r="A13" s="19" t="inlineStr">
        <is>
          <t>k3</t>
        </is>
      </c>
      <c r="B13" s="44" t="n">
        <v>-2.707687</v>
      </c>
      <c r="C13" s="44" t="n">
        <v>-3.430226</v>
      </c>
      <c r="D13" s="28">
        <f>C13-B13</f>
        <v/>
      </c>
      <c r="F13" s="7" t="inlineStr">
        <is>
          <t>terme en r6</t>
        </is>
      </c>
    </row>
    <row r="15" ht="28" customHeight="1">
      <c r="A15" s="21" t="inlineStr">
        <is>
          <t>Sources</t>
        </is>
      </c>
      <c r="B15" s="45" t="inlineStr">
        <is>
          <t>Camera nue : calibration au damier, juillet 2026 (reportee dans optique.py sous K_NUE_AIR). Dans le tube : calibration du 12/08/2026, 31 vues, RMS 0.4445 px (calibration/montages/tube_air.npz).</t>
        </is>
      </c>
    </row>
    <row r="17" ht="20" customHeight="1">
      <c r="A17" s="3" t="inlineStr">
        <is>
          <t>CE QUE CES ECARTS DISENT — ET CE QU'ILS NE DISENT PAS</t>
        </is>
      </c>
    </row>
    <row r="18" ht="46" customHeight="1">
      <c r="A18" s="4" t="inlineStr">
        <is>
          <t>fy augmente de +5.15 px (+0.9 %) et cy de +15.6 px. On serait tente d'attribuer les deux au tube. Le modele optique du projet ne l'autorise pas : vue de face, une paroi cylindrique est symetrique autour de l'axe optique. Elle modifie la FOCALE (onglet 6_Sous_leau) mais ne DEPLACE PAS le point principal.</t>
        </is>
      </c>
    </row>
    <row r="19" ht="46" customHeight="1">
      <c r="A19" s="4" t="inlineStr">
        <is>
          <t>Deux causes plus vraisemblables pour le deplacement de cy, qu'on ne sait pas departager avec les donnees actuelles : (1) la camera est legerement inclinee dans son support imprime, si bien qu'elle ne vise pas exactement perpendiculairement a la paroi ; (2) une part de l'ecart vient simplement de la difference entre deux seances de calibration.</t>
        </is>
      </c>
    </row>
    <row r="20" ht="46" customHeight="1">
      <c r="A20" s="39" t="inlineStr">
        <is>
          <t>Indice en faveur de la seconde : fx a BAISSE de 8.4 px (-1.4 %). Or en air, le long de l'axe du tube, la paroi est une lame a faces paralleles — elle ne devie rien et ne devrait rien changer a fx. Cette baisse n'a pas d'explication optique.</t>
        </is>
      </c>
    </row>
    <row r="21" ht="46" customHeight="1">
      <c r="A21" s="4" t="inlineStr">
        <is>
          <t>CE QUI RESTE VRAI QUOI QU'IL ARRIVE : on calibre l'objet qu'on utilise. Quelle que soit la cause de l'ecart, la calibration faite dans le tube en tient compte, et celle faite dehors ne le peut pas, par construction.</t>
        </is>
      </c>
    </row>
    <row r="23" ht="20" customHeight="1">
      <c r="A23" s="3" t="inlineStr">
        <is>
          <t>VERIFICATION EXPERIMENTALE   (12/08/2026)</t>
        </is>
      </c>
    </row>
    <row r="24" ht="28" customHeight="1">
      <c r="A24" s="4" t="inlineStr">
        <is>
          <t>Un AprilTag de 22.3 cm place a 1.000 m, mesure au metre a ruban, camera dans le tube. Trois jeux de parametres appliques a la MEME image :</t>
        </is>
      </c>
    </row>
    <row r="25">
      <c r="A25" s="6" t="inlineStr">
        <is>
          <t>Parametres utilises</t>
        </is>
      </c>
      <c r="B25" s="6" t="inlineStr">
        <is>
          <t>Distance rendue (m)</t>
        </is>
      </c>
      <c r="C25" s="6" t="inlineStr">
        <is>
          <t>Ecart (m)</t>
        </is>
      </c>
    </row>
    <row r="26">
      <c r="A26" s="13" t="inlineStr">
        <is>
          <t>Aucune calibration (fx = 640 devine)</t>
        </is>
      </c>
      <c r="B26" s="22" t="n">
        <v>1.062</v>
      </c>
      <c r="C26" s="46">
        <f>B26-1</f>
        <v/>
      </c>
    </row>
    <row r="27">
      <c r="A27" s="13" t="inlineStr">
        <is>
          <t>Calibration hors tube</t>
        </is>
      </c>
      <c r="B27" s="22" t="n">
        <v>1.001</v>
      </c>
      <c r="C27" s="46">
        <f>B27-1</f>
        <v/>
      </c>
    </row>
    <row r="28">
      <c r="A28" s="13" t="inlineStr">
        <is>
          <t>Calibration dans le tube</t>
        </is>
      </c>
      <c r="B28" s="22" t="n">
        <v>1</v>
      </c>
      <c r="C28" s="46">
        <f>B28-1</f>
        <v/>
      </c>
    </row>
    <row r="30" ht="44" customHeight="1">
      <c r="A30" s="38" t="inlineStr">
        <is>
          <t>C'est la seule preuve DIRECTE de ce classeur : la fonction calibree dans le tube restitue la distance mesuree au metre. Les deux autres lignes sont des illustrations — le metre ne mesure que la portee, il ne peut pas departager un ecart lateral. Script : calibration/demo_distance.py</t>
        </is>
      </c>
    </row>
  </sheetData>
  <mergeCells count="21">
    <mergeCell ref="A30:H30"/>
    <mergeCell ref="F5:H5"/>
    <mergeCell ref="A24:H24"/>
    <mergeCell ref="F8:H8"/>
    <mergeCell ref="B15:H15"/>
    <mergeCell ref="A1:H1"/>
    <mergeCell ref="F13:H13"/>
    <mergeCell ref="F9:H9"/>
    <mergeCell ref="A18:H18"/>
    <mergeCell ref="A3:H3"/>
    <mergeCell ref="A21:H21"/>
    <mergeCell ref="A2:H2"/>
    <mergeCell ref="A23:H23"/>
    <mergeCell ref="F11:H11"/>
    <mergeCell ref="A17:H17"/>
    <mergeCell ref="F10:H10"/>
    <mergeCell ref="F6:H6"/>
    <mergeCell ref="A20:H20"/>
    <mergeCell ref="A19:H19"/>
    <mergeCell ref="F12:H12"/>
    <mergeCell ref="F7:H7"/>
  </mergeCells>
  <pageMargins left="0.4" right="0.4" top="0.5" bottom="0.5"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36"/>
  <sheetViews>
    <sheetView showGridLines="0" workbookViewId="0">
      <selection activeCell="A1" sqref="A1"/>
    </sheetView>
  </sheetViews>
  <sheetFormatPr baseColWidth="8" defaultRowHeight="15"/>
  <cols>
    <col width="6" customWidth="1" min="1" max="1"/>
    <col width="34" customWidth="1" min="2" max="2"/>
    <col width="14" customWidth="1" min="3" max="3"/>
    <col width="22" customWidth="1" min="4" max="4"/>
    <col width="14" customWidth="1" min="5" max="5"/>
    <col width="30" customWidth="1" min="6" max="6"/>
    <col width="12" customWidth="1" min="7" max="7"/>
    <col width="12" customWidth="1" min="8" max="8"/>
  </cols>
  <sheetData>
    <row r="1" ht="30" customHeight="1">
      <c r="A1" s="1" t="inlineStr">
        <is>
          <t>6. LA FONCTION SOUS L'EAU</t>
        </is>
      </c>
    </row>
    <row r="2" ht="24" customHeight="1">
      <c r="A2" s="2" t="inlineStr">
        <is>
          <t>Le tube sera immerge. La forme de la fonction ne change pas ; ses parametres, si.</t>
        </is>
      </c>
    </row>
    <row r="4" ht="20" customHeight="1">
      <c r="A4" s="3" t="inlineStr">
        <is>
          <t>L'IDEE GENERALE</t>
        </is>
      </c>
    </row>
    <row r="5" ht="46" customHeight="1">
      <c r="A5" s="4" t="inlineStr">
        <is>
          <t>Immerger le tube ajoute des interfaces : la lumiere passe de l'eau a l'acrylique, puis de l'acrylique a l'air, avant d'atteindre la camera. Chaque changement de milieu devie les rayons — loi de Snell-Descartes. Le monde parait donc GROSSI : c'est l'effet bien connu du masque de plongee.</t>
        </is>
      </c>
    </row>
    <row r="7" ht="24" customHeight="1">
      <c r="A7" s="5" t="inlineStr">
        <is>
          <t>n1 . sin(theta1)  =  n2 . sin(theta2)</t>
        </is>
      </c>
    </row>
    <row r="9" ht="20" customHeight="1">
      <c r="A9" s="3" t="inlineStr">
        <is>
          <t>LES INDICES EN JEU</t>
        </is>
      </c>
    </row>
    <row r="10">
      <c r="A10" s="6" t="inlineStr"/>
      <c r="B10" s="6" t="inlineStr">
        <is>
          <t>Milieu</t>
        </is>
      </c>
      <c r="C10" s="6" t="inlineStr">
        <is>
          <t>Indice n</t>
        </is>
      </c>
      <c r="D10" s="6" t="inlineStr">
        <is>
          <t>Ou</t>
        </is>
      </c>
    </row>
    <row r="11">
      <c r="B11" s="13" t="inlineStr">
        <is>
          <t>Air</t>
        </is>
      </c>
      <c r="C11" s="47" t="n">
        <v>1</v>
      </c>
      <c r="D11" s="13" t="inlineStr">
        <is>
          <t>a l'interieur du tube</t>
        </is>
      </c>
    </row>
    <row r="12">
      <c r="B12" s="13" t="inlineStr">
        <is>
          <t>Eau</t>
        </is>
      </c>
      <c r="C12" s="47" t="n">
        <v>1.33</v>
      </c>
      <c r="D12" s="13" t="inlineStr">
        <is>
          <t>le bassin</t>
        </is>
      </c>
    </row>
    <row r="13">
      <c r="B13" s="13" t="inlineStr">
        <is>
          <t>Acrylique</t>
        </is>
      </c>
      <c r="C13" s="47" t="n">
        <v>1.49</v>
      </c>
      <c r="D13" s="13" t="inlineStr">
        <is>
          <t>la paroi, 4.25 mm d'epaisseur</t>
        </is>
      </c>
    </row>
    <row r="15" ht="20" customHeight="1">
      <c r="A15" s="3" t="inlineStr">
        <is>
          <t>LE POINT SUBTIL : LES DEUX AXES NE SUBISSENT PAS LA MEME CHOSE</t>
        </is>
      </c>
    </row>
    <row r="16" ht="28" customHeight="1">
      <c r="A16" s="4" t="inlineStr">
        <is>
          <t>La camera est COUCHEE dans le tube et regarde a travers la paroi cylindrique. Or un cylindre n'a pas la meme forme dans ses deux directions :</t>
        </is>
      </c>
    </row>
    <row r="17" ht="46" customHeight="1">
      <c r="A17" s="4" t="inlineStr">
        <is>
          <t>AXE HORIZONTAL de l'image (le long du tube) — dans ce plan, la paroi se reduit a deux plans paralleles : un hublot PLAT. En enchainant Snell aux deux interfaces, l'indice de l'acrylique s'elimine et il reste sin(theta_air) = 1.33 x sin(theta_eau). Aux petits angles, cela revient a multiplier la focale par 1.33.</t>
        </is>
      </c>
    </row>
    <row r="18" ht="60" customHeight="1">
      <c r="A18" s="4" t="inlineStr">
        <is>
          <t>AXE VERTICAL de l'image (circonferentiel) — la paroi reste COURBE : c'est un menisque. Un rayon parti de l'AXE du tube frappe les deux surfaces perpendiculairement et ne devie pas du tout, quel que soit le milieu exterieur : c'est le principe du hublot en dome. Notre pupille n'est pas exactement sur l'axe (3.15 mm d'ecart), il reste donc un effet — mais bien plus faible que 1.33.</t>
        </is>
      </c>
    </row>
    <row r="19" ht="20" customHeight="1">
      <c r="A19" s="3" t="inlineStr">
        <is>
          <t>FOCALES PREVUES SOUS L'EAU</t>
        </is>
      </c>
    </row>
    <row r="20">
      <c r="A20" s="6" t="inlineStr"/>
      <c r="B20" s="6" t="inlineStr">
        <is>
          <t>Quantite</t>
        </is>
      </c>
      <c r="C20" s="6" t="inlineStr">
        <is>
          <t>Valeur</t>
        </is>
      </c>
      <c r="D20" s="6" t="inlineStr">
        <is>
          <t>Comment on l'obtient</t>
        </is>
      </c>
    </row>
    <row r="21" ht="24" customHeight="1">
      <c r="B21" s="13" t="inlineStr">
        <is>
          <t>fx sous l'eau (px)</t>
        </is>
      </c>
      <c r="C21" s="48">
        <f>5_Nos_chiffres!C5*C12</f>
        <v/>
      </c>
      <c r="D21" s="7" t="inlineStr">
        <is>
          <t>fx_air x n_eau — hublot plat</t>
        </is>
      </c>
    </row>
    <row r="22" ht="24" customHeight="1">
      <c r="B22" s="13" t="inlineStr">
        <is>
          <t>fy sous l'eau (px)</t>
        </is>
      </c>
      <c r="C22" s="48">
        <f>5_Nos_chiffres!C6*C25/C24</f>
        <v/>
      </c>
      <c r="D22" s="7" t="inlineStr">
        <is>
          <t>fy_air x (grandissement eau / grandissement air) — menisque</t>
        </is>
      </c>
    </row>
    <row r="23" ht="24" customHeight="1">
      <c r="B23" s="13" t="inlineStr">
        <is>
          <t>Anamorphose  fx/fy</t>
        </is>
      </c>
      <c r="C23" s="49">
        <f>MAX(C21:C22)/MIN(C21:C22)</f>
        <v/>
      </c>
      <c r="D23" s="7" t="inlineStr">
        <is>
          <t>1.000 = image normale. Ici les deux axes ne grossissent pas pareil.</t>
        </is>
      </c>
    </row>
    <row r="24">
      <c r="B24" s="13" t="inlineStr">
        <is>
          <t>Grandissement du menisque, en air</t>
        </is>
      </c>
      <c r="C24" s="44" t="n">
        <v>1.00850917208</v>
      </c>
      <c r="D24" s="50" t="inlineStr">
        <is>
          <t>Calcules par trace de rayon a travers les deux surfaces cylindriques, pour une pupille situee a 3.15 mm de l'axe du tube. Source : optique.grandissement_section() dans le depot.</t>
        </is>
      </c>
    </row>
    <row r="25">
      <c r="B25" s="13" t="inlineStr">
        <is>
          <t>Grandissement du menisque, sous l'eau</t>
        </is>
      </c>
      <c r="C25" s="44" t="n">
        <v>1.03745260644</v>
      </c>
    </row>
    <row r="27" ht="20" customHeight="1">
      <c r="A27" s="3" t="inlineStr">
        <is>
          <t>CE QUE CELA CHANGE CONCRETEMENT</t>
        </is>
      </c>
    </row>
    <row r="28" ht="30" customHeight="1">
      <c r="A28" s="51" t="inlineStr">
        <is>
          <t>-</t>
        </is>
      </c>
      <c r="B28" s="52" t="inlineStr">
        <is>
          <t>Le champ de vision retrecit</t>
        </is>
      </c>
      <c r="C28" s="7" t="inlineStr">
        <is>
          <t>un hublot plat resserre l'image : on voit moins large sous l'eau qu'en air.</t>
        </is>
      </c>
    </row>
    <row r="29" ht="30" customHeight="1">
      <c r="A29" s="51" t="inlineStr">
        <is>
          <t>-</t>
        </is>
      </c>
      <c r="B29" s="52" t="inlineStr">
        <is>
          <t>Les distances changent d'environ 33 %</t>
        </is>
      </c>
      <c r="C29" s="7" t="inlineStr">
        <is>
          <t>garder la calibration d'air sous l'eau fausserait toutes les portees de cet ordre — silencieusement.</t>
        </is>
      </c>
    </row>
    <row r="30" ht="30" customHeight="1">
      <c r="A30" s="51" t="inlineStr">
        <is>
          <t>-</t>
        </is>
      </c>
      <c r="B30" s="52" t="inlineStr">
        <is>
          <t>L'image devient anamorphique</t>
        </is>
      </c>
      <c r="C30" s="7" t="inlineStr">
        <is>
          <t>les deux axes ne grossissent pas du meme facteur : on ne peut plus resumer l'optique a un seul nombre.</t>
        </is>
      </c>
    </row>
    <row r="31" ht="30" customHeight="1">
      <c r="A31" s="51" t="inlineStr">
        <is>
          <t>-</t>
        </is>
      </c>
      <c r="B31" s="52" t="inlineStr">
        <is>
          <t>La distorsion change aussi</t>
        </is>
      </c>
      <c r="C31" s="7" t="inlineStr">
        <is>
          <t>la relation sin(theta_air) = n.sin(theta_eau) n'est un simple facteur qu'aux petits angles ; l'ecart aux grands angles est exactement de la distorsion radiale supplementaire.</t>
        </is>
      </c>
    </row>
    <row r="33" ht="20" customHeight="1">
      <c r="A33" s="3" t="inlineStr">
        <is>
          <t>LA LIMITE DU MODELE — A DIRE AU TUTEUR</t>
        </is>
      </c>
    </row>
    <row r="34" ht="42" customHeight="1">
      <c r="A34" s="38" t="inlineStr">
        <is>
          <t>Sous l'eau, le systeme n'est plus rigoureusement un stenope. Une interface refractive rend la camera NON CENTRALE : les rayons ne passent plus tous par un point unique, le centre de projection se deplace selon l'angle du rayon. Le modele K + distorsion n'est donc plus qu'une APPROXIMATION — excellente tant que la paroi est mince et proche de la pupille, ce qui est notre cas.
C'est precisement pour cela qu'on RECALIBRE sous l'eau au lieu de calculer les parametres : on laisse les coefficients de distorsion absorber ce que le modele ne sait pas representer. Les valeurs prevues ci-dessus servent a verifier que la calibration en eau tombe bien la ou on l'attend — elles ne dispensent pas de la faire.</t>
        </is>
      </c>
    </row>
    <row r="35" ht="42" customHeight="1"/>
    <row r="36" ht="42" customHeight="1"/>
  </sheetData>
  <mergeCells count="25">
    <mergeCell ref="A16:F16"/>
    <mergeCell ref="D11:F11"/>
    <mergeCell ref="D13:F13"/>
    <mergeCell ref="A27:F27"/>
    <mergeCell ref="A18:F18"/>
    <mergeCell ref="C28:F28"/>
    <mergeCell ref="A2:F2"/>
    <mergeCell ref="A33:F33"/>
    <mergeCell ref="A5:F5"/>
    <mergeCell ref="D12:F12"/>
    <mergeCell ref="C30:F30"/>
    <mergeCell ref="A17:F17"/>
    <mergeCell ref="A4:F4"/>
    <mergeCell ref="A19:F19"/>
    <mergeCell ref="D23:F23"/>
    <mergeCell ref="A9:F9"/>
    <mergeCell ref="C29:F29"/>
    <mergeCell ref="A34:F36"/>
    <mergeCell ref="A15:F15"/>
    <mergeCell ref="C31:F31"/>
    <mergeCell ref="A1:F1"/>
    <mergeCell ref="D22:F22"/>
    <mergeCell ref="D24:F25"/>
    <mergeCell ref="D21:F21"/>
    <mergeCell ref="A7:F7"/>
  </mergeCells>
  <pageMargins left="0.4" right="0.4" top="0.5" bottom="0.5"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83"/>
  <sheetViews>
    <sheetView showGridLines="0" workbookViewId="0">
      <selection activeCell="A1" sqref="A1"/>
    </sheetView>
  </sheetViews>
  <sheetFormatPr baseColWidth="8" defaultRowHeight="15"/>
  <cols>
    <col width="14" customWidth="1" min="1" max="1"/>
    <col width="15" customWidth="1" min="2" max="2"/>
    <col width="15" customWidth="1" min="3" max="3"/>
    <col width="19" customWidth="1" min="4" max="4"/>
    <col width="4" customWidth="1" min="5" max="5"/>
    <col width="13" customWidth="1" min="6" max="6"/>
    <col width="13" customWidth="1" min="7" max="7"/>
    <col width="13" customWidth="1" min="8" max="8"/>
    <col width="13" customWidth="1" min="9" max="9"/>
  </cols>
  <sheetData>
    <row r="1" ht="30" customHeight="1">
      <c r="A1" s="1" t="inlineStr">
        <is>
          <t>7. LES COURBES</t>
        </is>
      </c>
    </row>
    <row r="2" ht="24" customHeight="1">
      <c r="A2" s="2" t="inlineStr">
        <is>
          <t>La fonction de calibration, tracee. Tout se recalcule a partir des onglets 5 et 6.</t>
        </is>
      </c>
    </row>
    <row r="4" ht="20" customHeight="1">
      <c r="A4" s="3" t="inlineStr">
        <is>
          <t>PARAMETRES DU TRACE</t>
        </is>
      </c>
    </row>
    <row r="5">
      <c r="A5" s="13" t="inlineStr">
        <is>
          <t>Cote du tag S (m)</t>
        </is>
      </c>
      <c r="B5" s="22" t="n">
        <v>0.223</v>
      </c>
      <c r="C5" s="23" t="inlineStr">
        <is>
          <t>les tags du bassin ; mettre 0.115 pour le petit</t>
        </is>
      </c>
    </row>
    <row r="6">
      <c r="A6" s="13" t="inlineStr">
        <is>
          <t>Focale devinee sans calibration (px)</t>
        </is>
      </c>
      <c r="B6" s="18" t="n">
        <v>640</v>
      </c>
      <c r="C6" s="23" t="inlineStr">
        <is>
          <t>largeur de l'image : ce qu'on ecrit faute de mieux</t>
        </is>
      </c>
    </row>
    <row r="8" ht="20" customHeight="1">
      <c r="A8" s="3" t="inlineStr">
        <is>
          <t>COURBE 1 — DISTANCE SELON LA TAILLE APPARENTE DU TAG</t>
        </is>
      </c>
    </row>
    <row r="9" ht="28" customHeight="1">
      <c r="A9" s="4" t="inlineStr">
        <is>
          <t>C'est la fonction de calibration sous la forme la plus utile au projet : d = f . S / s. Elle donne la distance d'un tag dont on mesure le cote apparent en pixels. Trois jeux de parametres sont traces.</t>
        </is>
      </c>
    </row>
    <row r="11">
      <c r="A11" s="6" t="inlineStr">
        <is>
          <t>s (px)</t>
        </is>
      </c>
      <c r="B11" s="6" t="inlineStr">
        <is>
          <t>d air (m)</t>
        </is>
      </c>
      <c r="C11" s="6" t="inlineStr">
        <is>
          <t>d eau (m)</t>
        </is>
      </c>
      <c r="D11" s="6" t="inlineStr">
        <is>
          <t>d sans calibration (m)</t>
        </is>
      </c>
    </row>
    <row r="12">
      <c r="A12" s="40" t="n">
        <v>20</v>
      </c>
      <c r="B12" s="53">
        <f>5_Nos_chiffres!$C$5*$B$5/A12</f>
        <v/>
      </c>
      <c r="C12" s="53">
        <f>6_Sous_leau!$C$21*$B$5/A12</f>
        <v/>
      </c>
      <c r="D12" s="53">
        <f>$B$6*$B$5/A12</f>
        <v/>
      </c>
    </row>
    <row r="13">
      <c r="A13" s="40" t="n">
        <v>30</v>
      </c>
      <c r="B13" s="53">
        <f>5_Nos_chiffres!$C$5*$B$5/A13</f>
        <v/>
      </c>
      <c r="C13" s="53">
        <f>6_Sous_leau!$C$21*$B$5/A13</f>
        <v/>
      </c>
      <c r="D13" s="53">
        <f>$B$6*$B$5/A13</f>
        <v/>
      </c>
    </row>
    <row r="14">
      <c r="A14" s="40" t="n">
        <v>40</v>
      </c>
      <c r="B14" s="53">
        <f>5_Nos_chiffres!$C$5*$B$5/A14</f>
        <v/>
      </c>
      <c r="C14" s="53">
        <f>6_Sous_leau!$C$21*$B$5/A14</f>
        <v/>
      </c>
      <c r="D14" s="53">
        <f>$B$6*$B$5/A14</f>
        <v/>
      </c>
    </row>
    <row r="15">
      <c r="A15" s="40" t="n">
        <v>50</v>
      </c>
      <c r="B15" s="53">
        <f>5_Nos_chiffres!$C$5*$B$5/A15</f>
        <v/>
      </c>
      <c r="C15" s="53">
        <f>6_Sous_leau!$C$21*$B$5/A15</f>
        <v/>
      </c>
      <c r="D15" s="53">
        <f>$B$6*$B$5/A15</f>
        <v/>
      </c>
    </row>
    <row r="16">
      <c r="A16" s="40" t="n">
        <v>60</v>
      </c>
      <c r="B16" s="53">
        <f>5_Nos_chiffres!$C$5*$B$5/A16</f>
        <v/>
      </c>
      <c r="C16" s="53">
        <f>6_Sous_leau!$C$21*$B$5/A16</f>
        <v/>
      </c>
      <c r="D16" s="53">
        <f>$B$6*$B$5/A16</f>
        <v/>
      </c>
    </row>
    <row r="17">
      <c r="A17" s="40" t="n">
        <v>70</v>
      </c>
      <c r="B17" s="53">
        <f>5_Nos_chiffres!$C$5*$B$5/A17</f>
        <v/>
      </c>
      <c r="C17" s="53">
        <f>6_Sous_leau!$C$21*$B$5/A17</f>
        <v/>
      </c>
      <c r="D17" s="53">
        <f>$B$6*$B$5/A17</f>
        <v/>
      </c>
    </row>
    <row r="18">
      <c r="A18" s="40" t="n">
        <v>80</v>
      </c>
      <c r="B18" s="53">
        <f>5_Nos_chiffres!$C$5*$B$5/A18</f>
        <v/>
      </c>
      <c r="C18" s="53">
        <f>6_Sous_leau!$C$21*$B$5/A18</f>
        <v/>
      </c>
      <c r="D18" s="53">
        <f>$B$6*$B$5/A18</f>
        <v/>
      </c>
    </row>
    <row r="19">
      <c r="A19" s="40" t="n">
        <v>90</v>
      </c>
      <c r="B19" s="53">
        <f>5_Nos_chiffres!$C$5*$B$5/A19</f>
        <v/>
      </c>
      <c r="C19" s="53">
        <f>6_Sous_leau!$C$21*$B$5/A19</f>
        <v/>
      </c>
      <c r="D19" s="53">
        <f>$B$6*$B$5/A19</f>
        <v/>
      </c>
    </row>
    <row r="20">
      <c r="A20" s="40" t="n">
        <v>100</v>
      </c>
      <c r="B20" s="53">
        <f>5_Nos_chiffres!$C$5*$B$5/A20</f>
        <v/>
      </c>
      <c r="C20" s="53">
        <f>6_Sous_leau!$C$21*$B$5/A20</f>
        <v/>
      </c>
      <c r="D20" s="53">
        <f>$B$6*$B$5/A20</f>
        <v/>
      </c>
    </row>
    <row r="21">
      <c r="A21" s="40" t="n">
        <v>110</v>
      </c>
      <c r="B21" s="53">
        <f>5_Nos_chiffres!$C$5*$B$5/A21</f>
        <v/>
      </c>
      <c r="C21" s="53">
        <f>6_Sous_leau!$C$21*$B$5/A21</f>
        <v/>
      </c>
      <c r="D21" s="53">
        <f>$B$6*$B$5/A21</f>
        <v/>
      </c>
    </row>
    <row r="22">
      <c r="A22" s="40" t="n">
        <v>120</v>
      </c>
      <c r="B22" s="53">
        <f>5_Nos_chiffres!$C$5*$B$5/A22</f>
        <v/>
      </c>
      <c r="C22" s="53">
        <f>6_Sous_leau!$C$21*$B$5/A22</f>
        <v/>
      </c>
      <c r="D22" s="53">
        <f>$B$6*$B$5/A22</f>
        <v/>
      </c>
    </row>
    <row r="23">
      <c r="A23" s="40" t="n">
        <v>130</v>
      </c>
      <c r="B23" s="53">
        <f>5_Nos_chiffres!$C$5*$B$5/A23</f>
        <v/>
      </c>
      <c r="C23" s="53">
        <f>6_Sous_leau!$C$21*$B$5/A23</f>
        <v/>
      </c>
      <c r="D23" s="53">
        <f>$B$6*$B$5/A23</f>
        <v/>
      </c>
    </row>
    <row r="24">
      <c r="A24" s="40" t="n">
        <v>140</v>
      </c>
      <c r="B24" s="53">
        <f>5_Nos_chiffres!$C$5*$B$5/A24</f>
        <v/>
      </c>
      <c r="C24" s="53">
        <f>6_Sous_leau!$C$21*$B$5/A24</f>
        <v/>
      </c>
      <c r="D24" s="53">
        <f>$B$6*$B$5/A24</f>
        <v/>
      </c>
    </row>
    <row r="25">
      <c r="A25" s="40" t="n">
        <v>150</v>
      </c>
      <c r="B25" s="53">
        <f>5_Nos_chiffres!$C$5*$B$5/A25</f>
        <v/>
      </c>
      <c r="C25" s="53">
        <f>6_Sous_leau!$C$21*$B$5/A25</f>
        <v/>
      </c>
      <c r="D25" s="53">
        <f>$B$6*$B$5/A25</f>
        <v/>
      </c>
    </row>
    <row r="26">
      <c r="A26" s="40" t="n">
        <v>160</v>
      </c>
      <c r="B26" s="53">
        <f>5_Nos_chiffres!$C$5*$B$5/A26</f>
        <v/>
      </c>
      <c r="C26" s="53">
        <f>6_Sous_leau!$C$21*$B$5/A26</f>
        <v/>
      </c>
      <c r="D26" s="53">
        <f>$B$6*$B$5/A26</f>
        <v/>
      </c>
    </row>
    <row r="27">
      <c r="A27" s="40" t="n">
        <v>170</v>
      </c>
      <c r="B27" s="53">
        <f>5_Nos_chiffres!$C$5*$B$5/A27</f>
        <v/>
      </c>
      <c r="C27" s="53">
        <f>6_Sous_leau!$C$21*$B$5/A27</f>
        <v/>
      </c>
      <c r="D27" s="53">
        <f>$B$6*$B$5/A27</f>
        <v/>
      </c>
    </row>
    <row r="28">
      <c r="A28" s="40" t="n">
        <v>180</v>
      </c>
      <c r="B28" s="53">
        <f>5_Nos_chiffres!$C$5*$B$5/A28</f>
        <v/>
      </c>
      <c r="C28" s="53">
        <f>6_Sous_leau!$C$21*$B$5/A28</f>
        <v/>
      </c>
      <c r="D28" s="53">
        <f>$B$6*$B$5/A28</f>
        <v/>
      </c>
    </row>
    <row r="29">
      <c r="A29" s="40" t="n">
        <v>190</v>
      </c>
      <c r="B29" s="53">
        <f>5_Nos_chiffres!$C$5*$B$5/A29</f>
        <v/>
      </c>
      <c r="C29" s="53">
        <f>6_Sous_leau!$C$21*$B$5/A29</f>
        <v/>
      </c>
      <c r="D29" s="53">
        <f>$B$6*$B$5/A29</f>
        <v/>
      </c>
    </row>
    <row r="30">
      <c r="A30" s="40" t="n">
        <v>200</v>
      </c>
      <c r="B30" s="53">
        <f>5_Nos_chiffres!$C$5*$B$5/A30</f>
        <v/>
      </c>
      <c r="C30" s="53">
        <f>6_Sous_leau!$C$21*$B$5/A30</f>
        <v/>
      </c>
      <c r="D30" s="53">
        <f>$B$6*$B$5/A30</f>
        <v/>
      </c>
    </row>
    <row r="31">
      <c r="A31" s="40" t="n">
        <v>210</v>
      </c>
      <c r="B31" s="53">
        <f>5_Nos_chiffres!$C$5*$B$5/A31</f>
        <v/>
      </c>
      <c r="C31" s="53">
        <f>6_Sous_leau!$C$21*$B$5/A31</f>
        <v/>
      </c>
      <c r="D31" s="53">
        <f>$B$6*$B$5/A31</f>
        <v/>
      </c>
    </row>
    <row r="32">
      <c r="A32" s="40" t="n">
        <v>220</v>
      </c>
      <c r="B32" s="53">
        <f>5_Nos_chiffres!$C$5*$B$5/A32</f>
        <v/>
      </c>
      <c r="C32" s="53">
        <f>6_Sous_leau!$C$21*$B$5/A32</f>
        <v/>
      </c>
      <c r="D32" s="53">
        <f>$B$6*$B$5/A32</f>
        <v/>
      </c>
    </row>
    <row r="33">
      <c r="A33" s="40" t="n">
        <v>230</v>
      </c>
      <c r="B33" s="53">
        <f>5_Nos_chiffres!$C$5*$B$5/A33</f>
        <v/>
      </c>
      <c r="C33" s="53">
        <f>6_Sous_leau!$C$21*$B$5/A33</f>
        <v/>
      </c>
      <c r="D33" s="53">
        <f>$B$6*$B$5/A33</f>
        <v/>
      </c>
    </row>
    <row r="34">
      <c r="A34" s="40" t="n">
        <v>240</v>
      </c>
      <c r="B34" s="53">
        <f>5_Nos_chiffres!$C$5*$B$5/A34</f>
        <v/>
      </c>
      <c r="C34" s="53">
        <f>6_Sous_leau!$C$21*$B$5/A34</f>
        <v/>
      </c>
      <c r="D34" s="53">
        <f>$B$6*$B$5/A34</f>
        <v/>
      </c>
    </row>
    <row r="35">
      <c r="A35" s="40" t="n">
        <v>250</v>
      </c>
      <c r="B35" s="53">
        <f>5_Nos_chiffres!$C$5*$B$5/A35</f>
        <v/>
      </c>
      <c r="C35" s="53">
        <f>6_Sous_leau!$C$21*$B$5/A35</f>
        <v/>
      </c>
      <c r="D35" s="53">
        <f>$B$6*$B$5/A35</f>
        <v/>
      </c>
    </row>
    <row r="36">
      <c r="A36" s="40" t="n">
        <v>260</v>
      </c>
      <c r="B36" s="53">
        <f>5_Nos_chiffres!$C$5*$B$5/A36</f>
        <v/>
      </c>
      <c r="C36" s="53">
        <f>6_Sous_leau!$C$21*$B$5/A36</f>
        <v/>
      </c>
      <c r="D36" s="53">
        <f>$B$6*$B$5/A36</f>
        <v/>
      </c>
    </row>
    <row r="37">
      <c r="A37" s="40" t="n">
        <v>270</v>
      </c>
      <c r="B37" s="53">
        <f>5_Nos_chiffres!$C$5*$B$5/A37</f>
        <v/>
      </c>
      <c r="C37" s="53">
        <f>6_Sous_leau!$C$21*$B$5/A37</f>
        <v/>
      </c>
      <c r="D37" s="53">
        <f>$B$6*$B$5/A37</f>
        <v/>
      </c>
    </row>
    <row r="38">
      <c r="A38" s="40" t="n">
        <v>280</v>
      </c>
      <c r="B38" s="53">
        <f>5_Nos_chiffres!$C$5*$B$5/A38</f>
        <v/>
      </c>
      <c r="C38" s="53">
        <f>6_Sous_leau!$C$21*$B$5/A38</f>
        <v/>
      </c>
      <c r="D38" s="53">
        <f>$B$6*$B$5/A38</f>
        <v/>
      </c>
    </row>
    <row r="39">
      <c r="A39" s="40" t="n">
        <v>290</v>
      </c>
      <c r="B39" s="53">
        <f>5_Nos_chiffres!$C$5*$B$5/A39</f>
        <v/>
      </c>
      <c r="C39" s="53">
        <f>6_Sous_leau!$C$21*$B$5/A39</f>
        <v/>
      </c>
      <c r="D39" s="53">
        <f>$B$6*$B$5/A39</f>
        <v/>
      </c>
    </row>
    <row r="40">
      <c r="A40" s="40" t="n">
        <v>300</v>
      </c>
      <c r="B40" s="53">
        <f>5_Nos_chiffres!$C$5*$B$5/A40</f>
        <v/>
      </c>
      <c r="C40" s="53">
        <f>6_Sous_leau!$C$21*$B$5/A40</f>
        <v/>
      </c>
      <c r="D40" s="53">
        <f>$B$6*$B$5/A40</f>
        <v/>
      </c>
    </row>
    <row r="41" ht="20" customHeight="1">
      <c r="A41" s="3" t="inlineStr">
        <is>
          <t>COURBE 2 — PROFIL DE LA DISTORSION RADIALE</t>
        </is>
      </c>
    </row>
    <row r="42" ht="18" customHeight="1">
      <c r="A42" s="4" t="inlineStr">
        <is>
          <t>De combien de pixels un point est-il deplace par la distorsion, selon sa distance au centre de l'image ?</t>
        </is>
      </c>
    </row>
    <row r="43">
      <c r="A43" s="6" t="inlineStr">
        <is>
          <t>r normalise</t>
        </is>
      </c>
      <c r="B43" s="6" t="inlineStr">
        <is>
          <t>facteur radial</t>
        </is>
      </c>
      <c r="C43" s="6" t="inlineStr">
        <is>
          <t>r (px)</t>
        </is>
      </c>
      <c r="D43" s="6" t="inlineStr">
        <is>
          <t>deplacement (px)</t>
        </is>
      </c>
    </row>
    <row r="44">
      <c r="A44" s="54" t="n">
        <v>0</v>
      </c>
      <c r="B44" s="27">
        <f>1+5_Nos_chiffres!$C$9*A44^2+5_Nos_chiffres!$C$10*A44^4+5_Nos_chiffres!$C$13*A44^6</f>
        <v/>
      </c>
      <c r="C44" s="41">
        <f>A44*(5_Nos_chiffres!$C$5+5_Nos_chiffres!$C$6)/2</f>
        <v/>
      </c>
      <c r="D44" s="54">
        <f>C44*(B44-1)</f>
        <v/>
      </c>
    </row>
    <row r="45">
      <c r="A45" s="54" t="n">
        <v>0.02</v>
      </c>
      <c r="B45" s="27">
        <f>1+5_Nos_chiffres!$C$9*A45^2+5_Nos_chiffres!$C$10*A45^4+5_Nos_chiffres!$C$13*A45^6</f>
        <v/>
      </c>
      <c r="C45" s="41">
        <f>A45*(5_Nos_chiffres!$C$5+5_Nos_chiffres!$C$6)/2</f>
        <v/>
      </c>
      <c r="D45" s="54">
        <f>C45*(B45-1)</f>
        <v/>
      </c>
    </row>
    <row r="46">
      <c r="A46" s="54" t="n">
        <v>0.04</v>
      </c>
      <c r="B46" s="27">
        <f>1+5_Nos_chiffres!$C$9*A46^2+5_Nos_chiffres!$C$10*A46^4+5_Nos_chiffres!$C$13*A46^6</f>
        <v/>
      </c>
      <c r="C46" s="41">
        <f>A46*(5_Nos_chiffres!$C$5+5_Nos_chiffres!$C$6)/2</f>
        <v/>
      </c>
      <c r="D46" s="54">
        <f>C46*(B46-1)</f>
        <v/>
      </c>
    </row>
    <row r="47">
      <c r="A47" s="54" t="n">
        <v>0.06</v>
      </c>
      <c r="B47" s="27">
        <f>1+5_Nos_chiffres!$C$9*A47^2+5_Nos_chiffres!$C$10*A47^4+5_Nos_chiffres!$C$13*A47^6</f>
        <v/>
      </c>
      <c r="C47" s="41">
        <f>A47*(5_Nos_chiffres!$C$5+5_Nos_chiffres!$C$6)/2</f>
        <v/>
      </c>
      <c r="D47" s="54">
        <f>C47*(B47-1)</f>
        <v/>
      </c>
    </row>
    <row r="48">
      <c r="A48" s="54" t="n">
        <v>0.08</v>
      </c>
      <c r="B48" s="27">
        <f>1+5_Nos_chiffres!$C$9*A48^2+5_Nos_chiffres!$C$10*A48^4+5_Nos_chiffres!$C$13*A48^6</f>
        <v/>
      </c>
      <c r="C48" s="41">
        <f>A48*(5_Nos_chiffres!$C$5+5_Nos_chiffres!$C$6)/2</f>
        <v/>
      </c>
      <c r="D48" s="54">
        <f>C48*(B48-1)</f>
        <v/>
      </c>
    </row>
    <row r="49">
      <c r="A49" s="54" t="n">
        <v>0.1</v>
      </c>
      <c r="B49" s="27">
        <f>1+5_Nos_chiffres!$C$9*A49^2+5_Nos_chiffres!$C$10*A49^4+5_Nos_chiffres!$C$13*A49^6</f>
        <v/>
      </c>
      <c r="C49" s="41">
        <f>A49*(5_Nos_chiffres!$C$5+5_Nos_chiffres!$C$6)/2</f>
        <v/>
      </c>
      <c r="D49" s="54">
        <f>C49*(B49-1)</f>
        <v/>
      </c>
    </row>
    <row r="50">
      <c r="A50" s="54" t="n">
        <v>0.12</v>
      </c>
      <c r="B50" s="27">
        <f>1+5_Nos_chiffres!$C$9*A50^2+5_Nos_chiffres!$C$10*A50^4+5_Nos_chiffres!$C$13*A50^6</f>
        <v/>
      </c>
      <c r="C50" s="41">
        <f>A50*(5_Nos_chiffres!$C$5+5_Nos_chiffres!$C$6)/2</f>
        <v/>
      </c>
      <c r="D50" s="54">
        <f>C50*(B50-1)</f>
        <v/>
      </c>
    </row>
    <row r="51">
      <c r="A51" s="54" t="n">
        <v>0.14</v>
      </c>
      <c r="B51" s="27">
        <f>1+5_Nos_chiffres!$C$9*A51^2+5_Nos_chiffres!$C$10*A51^4+5_Nos_chiffres!$C$13*A51^6</f>
        <v/>
      </c>
      <c r="C51" s="41">
        <f>A51*(5_Nos_chiffres!$C$5+5_Nos_chiffres!$C$6)/2</f>
        <v/>
      </c>
      <c r="D51" s="54">
        <f>C51*(B51-1)</f>
        <v/>
      </c>
    </row>
    <row r="52">
      <c r="A52" s="54" t="n">
        <v>0.16</v>
      </c>
      <c r="B52" s="27">
        <f>1+5_Nos_chiffres!$C$9*A52^2+5_Nos_chiffres!$C$10*A52^4+5_Nos_chiffres!$C$13*A52^6</f>
        <v/>
      </c>
      <c r="C52" s="41">
        <f>A52*(5_Nos_chiffres!$C$5+5_Nos_chiffres!$C$6)/2</f>
        <v/>
      </c>
      <c r="D52" s="54">
        <f>C52*(B52-1)</f>
        <v/>
      </c>
    </row>
    <row r="53">
      <c r="A53" s="54" t="n">
        <v>0.18</v>
      </c>
      <c r="B53" s="27">
        <f>1+5_Nos_chiffres!$C$9*A53^2+5_Nos_chiffres!$C$10*A53^4+5_Nos_chiffres!$C$13*A53^6</f>
        <v/>
      </c>
      <c r="C53" s="41">
        <f>A53*(5_Nos_chiffres!$C$5+5_Nos_chiffres!$C$6)/2</f>
        <v/>
      </c>
      <c r="D53" s="54">
        <f>C53*(B53-1)</f>
        <v/>
      </c>
    </row>
    <row r="54">
      <c r="A54" s="54" t="n">
        <v>0.2</v>
      </c>
      <c r="B54" s="27">
        <f>1+5_Nos_chiffres!$C$9*A54^2+5_Nos_chiffres!$C$10*A54^4+5_Nos_chiffres!$C$13*A54^6</f>
        <v/>
      </c>
      <c r="C54" s="41">
        <f>A54*(5_Nos_chiffres!$C$5+5_Nos_chiffres!$C$6)/2</f>
        <v/>
      </c>
      <c r="D54" s="54">
        <f>C54*(B54-1)</f>
        <v/>
      </c>
    </row>
    <row r="55">
      <c r="A55" s="54" t="n">
        <v>0.22</v>
      </c>
      <c r="B55" s="27">
        <f>1+5_Nos_chiffres!$C$9*A55^2+5_Nos_chiffres!$C$10*A55^4+5_Nos_chiffres!$C$13*A55^6</f>
        <v/>
      </c>
      <c r="C55" s="41">
        <f>A55*(5_Nos_chiffres!$C$5+5_Nos_chiffres!$C$6)/2</f>
        <v/>
      </c>
      <c r="D55" s="54">
        <f>C55*(B55-1)</f>
        <v/>
      </c>
    </row>
    <row r="56">
      <c r="A56" s="54" t="n">
        <v>0.24</v>
      </c>
      <c r="B56" s="27">
        <f>1+5_Nos_chiffres!$C$9*A56^2+5_Nos_chiffres!$C$10*A56^4+5_Nos_chiffres!$C$13*A56^6</f>
        <v/>
      </c>
      <c r="C56" s="41">
        <f>A56*(5_Nos_chiffres!$C$5+5_Nos_chiffres!$C$6)/2</f>
        <v/>
      </c>
      <c r="D56" s="54">
        <f>C56*(B56-1)</f>
        <v/>
      </c>
    </row>
    <row r="57">
      <c r="A57" s="54" t="n">
        <v>0.26</v>
      </c>
      <c r="B57" s="27">
        <f>1+5_Nos_chiffres!$C$9*A57^2+5_Nos_chiffres!$C$10*A57^4+5_Nos_chiffres!$C$13*A57^6</f>
        <v/>
      </c>
      <c r="C57" s="41">
        <f>A57*(5_Nos_chiffres!$C$5+5_Nos_chiffres!$C$6)/2</f>
        <v/>
      </c>
      <c r="D57" s="54">
        <f>C57*(B57-1)</f>
        <v/>
      </c>
    </row>
    <row r="58">
      <c r="A58" s="54" t="n">
        <v>0.28</v>
      </c>
      <c r="B58" s="27">
        <f>1+5_Nos_chiffres!$C$9*A58^2+5_Nos_chiffres!$C$10*A58^4+5_Nos_chiffres!$C$13*A58^6</f>
        <v/>
      </c>
      <c r="C58" s="41">
        <f>A58*(5_Nos_chiffres!$C$5+5_Nos_chiffres!$C$6)/2</f>
        <v/>
      </c>
      <c r="D58" s="54">
        <f>C58*(B58-1)</f>
        <v/>
      </c>
    </row>
    <row r="59">
      <c r="A59" s="54" t="n">
        <v>0.3</v>
      </c>
      <c r="B59" s="27">
        <f>1+5_Nos_chiffres!$C$9*A59^2+5_Nos_chiffres!$C$10*A59^4+5_Nos_chiffres!$C$13*A59^6</f>
        <v/>
      </c>
      <c r="C59" s="41">
        <f>A59*(5_Nos_chiffres!$C$5+5_Nos_chiffres!$C$6)/2</f>
        <v/>
      </c>
      <c r="D59" s="54">
        <f>C59*(B59-1)</f>
        <v/>
      </c>
    </row>
    <row r="60">
      <c r="A60" s="54" t="n">
        <v>0.32</v>
      </c>
      <c r="B60" s="27">
        <f>1+5_Nos_chiffres!$C$9*A60^2+5_Nos_chiffres!$C$10*A60^4+5_Nos_chiffres!$C$13*A60^6</f>
        <v/>
      </c>
      <c r="C60" s="41">
        <f>A60*(5_Nos_chiffres!$C$5+5_Nos_chiffres!$C$6)/2</f>
        <v/>
      </c>
      <c r="D60" s="54">
        <f>C60*(B60-1)</f>
        <v/>
      </c>
    </row>
    <row r="61">
      <c r="A61" s="54" t="n">
        <v>0.34</v>
      </c>
      <c r="B61" s="27">
        <f>1+5_Nos_chiffres!$C$9*A61^2+5_Nos_chiffres!$C$10*A61^4+5_Nos_chiffres!$C$13*A61^6</f>
        <v/>
      </c>
      <c r="C61" s="41">
        <f>A61*(5_Nos_chiffres!$C$5+5_Nos_chiffres!$C$6)/2</f>
        <v/>
      </c>
      <c r="D61" s="54">
        <f>C61*(B61-1)</f>
        <v/>
      </c>
    </row>
    <row r="62">
      <c r="A62" s="54" t="n">
        <v>0.36</v>
      </c>
      <c r="B62" s="27">
        <f>1+5_Nos_chiffres!$C$9*A62^2+5_Nos_chiffres!$C$10*A62^4+5_Nos_chiffres!$C$13*A62^6</f>
        <v/>
      </c>
      <c r="C62" s="41">
        <f>A62*(5_Nos_chiffres!$C$5+5_Nos_chiffres!$C$6)/2</f>
        <v/>
      </c>
      <c r="D62" s="54">
        <f>C62*(B62-1)</f>
        <v/>
      </c>
    </row>
    <row r="63">
      <c r="A63" s="54" t="n">
        <v>0.38</v>
      </c>
      <c r="B63" s="27">
        <f>1+5_Nos_chiffres!$C$9*A63^2+5_Nos_chiffres!$C$10*A63^4+5_Nos_chiffres!$C$13*A63^6</f>
        <v/>
      </c>
      <c r="C63" s="41">
        <f>A63*(5_Nos_chiffres!$C$5+5_Nos_chiffres!$C$6)/2</f>
        <v/>
      </c>
      <c r="D63" s="54">
        <f>C63*(B63-1)</f>
        <v/>
      </c>
    </row>
    <row r="64">
      <c r="A64" s="54" t="n">
        <v>0.4</v>
      </c>
      <c r="B64" s="27">
        <f>1+5_Nos_chiffres!$C$9*A64^2+5_Nos_chiffres!$C$10*A64^4+5_Nos_chiffres!$C$13*A64^6</f>
        <v/>
      </c>
      <c r="C64" s="41">
        <f>A64*(5_Nos_chiffres!$C$5+5_Nos_chiffres!$C$6)/2</f>
        <v/>
      </c>
      <c r="D64" s="54">
        <f>C64*(B64-1)</f>
        <v/>
      </c>
    </row>
    <row r="65">
      <c r="A65" s="54" t="n">
        <v>0.42</v>
      </c>
      <c r="B65" s="27">
        <f>1+5_Nos_chiffres!$C$9*A65^2+5_Nos_chiffres!$C$10*A65^4+5_Nos_chiffres!$C$13*A65^6</f>
        <v/>
      </c>
      <c r="C65" s="41">
        <f>A65*(5_Nos_chiffres!$C$5+5_Nos_chiffres!$C$6)/2</f>
        <v/>
      </c>
      <c r="D65" s="54">
        <f>C65*(B65-1)</f>
        <v/>
      </c>
    </row>
    <row r="66">
      <c r="A66" s="54" t="n">
        <v>0.44</v>
      </c>
      <c r="B66" s="27">
        <f>1+5_Nos_chiffres!$C$9*A66^2+5_Nos_chiffres!$C$10*A66^4+5_Nos_chiffres!$C$13*A66^6</f>
        <v/>
      </c>
      <c r="C66" s="41">
        <f>A66*(5_Nos_chiffres!$C$5+5_Nos_chiffres!$C$6)/2</f>
        <v/>
      </c>
      <c r="D66" s="54">
        <f>C66*(B66-1)</f>
        <v/>
      </c>
    </row>
    <row r="67">
      <c r="A67" s="54" t="n">
        <v>0.46</v>
      </c>
      <c r="B67" s="27">
        <f>1+5_Nos_chiffres!$C$9*A67^2+5_Nos_chiffres!$C$10*A67^4+5_Nos_chiffres!$C$13*A67^6</f>
        <v/>
      </c>
      <c r="C67" s="41">
        <f>A67*(5_Nos_chiffres!$C$5+5_Nos_chiffres!$C$6)/2</f>
        <v/>
      </c>
      <c r="D67" s="54">
        <f>C67*(B67-1)</f>
        <v/>
      </c>
    </row>
    <row r="68">
      <c r="A68" s="54" t="n">
        <v>0.48</v>
      </c>
      <c r="B68" s="27">
        <f>1+5_Nos_chiffres!$C$9*A68^2+5_Nos_chiffres!$C$10*A68^4+5_Nos_chiffres!$C$13*A68^6</f>
        <v/>
      </c>
      <c r="C68" s="41">
        <f>A68*(5_Nos_chiffres!$C$5+5_Nos_chiffres!$C$6)/2</f>
        <v/>
      </c>
      <c r="D68" s="54">
        <f>C68*(B68-1)</f>
        <v/>
      </c>
    </row>
    <row r="69">
      <c r="A69" s="54" t="n">
        <v>0.5</v>
      </c>
      <c r="B69" s="27">
        <f>1+5_Nos_chiffres!$C$9*A69^2+5_Nos_chiffres!$C$10*A69^4+5_Nos_chiffres!$C$13*A69^6</f>
        <v/>
      </c>
      <c r="C69" s="41">
        <f>A69*(5_Nos_chiffres!$C$5+5_Nos_chiffres!$C$6)/2</f>
        <v/>
      </c>
      <c r="D69" s="54">
        <f>C69*(B69-1)</f>
        <v/>
      </c>
    </row>
    <row r="70">
      <c r="A70" s="54" t="n">
        <v>0.52</v>
      </c>
      <c r="B70" s="27">
        <f>1+5_Nos_chiffres!$C$9*A70^2+5_Nos_chiffres!$C$10*A70^4+5_Nos_chiffres!$C$13*A70^6</f>
        <v/>
      </c>
      <c r="C70" s="41">
        <f>A70*(5_Nos_chiffres!$C$5+5_Nos_chiffres!$C$6)/2</f>
        <v/>
      </c>
      <c r="D70" s="54">
        <f>C70*(B70-1)</f>
        <v/>
      </c>
    </row>
    <row r="71">
      <c r="A71" s="54" t="n">
        <v>0.54</v>
      </c>
      <c r="B71" s="27">
        <f>1+5_Nos_chiffres!$C$9*A71^2+5_Nos_chiffres!$C$10*A71^4+5_Nos_chiffres!$C$13*A71^6</f>
        <v/>
      </c>
      <c r="C71" s="41">
        <f>A71*(5_Nos_chiffres!$C$5+5_Nos_chiffres!$C$6)/2</f>
        <v/>
      </c>
      <c r="D71" s="54">
        <f>C71*(B71-1)</f>
        <v/>
      </c>
    </row>
    <row r="72">
      <c r="A72" s="54" t="n">
        <v>0.5600000000000001</v>
      </c>
      <c r="B72" s="27">
        <f>1+5_Nos_chiffres!$C$9*A72^2+5_Nos_chiffres!$C$10*A72^4+5_Nos_chiffres!$C$13*A72^6</f>
        <v/>
      </c>
      <c r="C72" s="41">
        <f>A72*(5_Nos_chiffres!$C$5+5_Nos_chiffres!$C$6)/2</f>
        <v/>
      </c>
      <c r="D72" s="54">
        <f>C72*(B72-1)</f>
        <v/>
      </c>
    </row>
    <row r="73">
      <c r="A73" s="54" t="n">
        <v>0.58</v>
      </c>
      <c r="B73" s="27">
        <f>1+5_Nos_chiffres!$C$9*A73^2+5_Nos_chiffres!$C$10*A73^4+5_Nos_chiffres!$C$13*A73^6</f>
        <v/>
      </c>
      <c r="C73" s="41">
        <f>A73*(5_Nos_chiffres!$C$5+5_Nos_chiffres!$C$6)/2</f>
        <v/>
      </c>
      <c r="D73" s="54">
        <f>C73*(B73-1)</f>
        <v/>
      </c>
    </row>
    <row r="74">
      <c r="A74" s="54" t="n">
        <v>0.6</v>
      </c>
      <c r="B74" s="27">
        <f>1+5_Nos_chiffres!$C$9*A74^2+5_Nos_chiffres!$C$10*A74^4+5_Nos_chiffres!$C$13*A74^6</f>
        <v/>
      </c>
      <c r="C74" s="41">
        <f>A74*(5_Nos_chiffres!$C$5+5_Nos_chiffres!$C$6)/2</f>
        <v/>
      </c>
      <c r="D74" s="54">
        <f>C74*(B74-1)</f>
        <v/>
      </c>
    </row>
    <row r="75">
      <c r="A75" s="54" t="n">
        <v>0.62</v>
      </c>
      <c r="B75" s="27">
        <f>1+5_Nos_chiffres!$C$9*A75^2+5_Nos_chiffres!$C$10*A75^4+5_Nos_chiffres!$C$13*A75^6</f>
        <v/>
      </c>
      <c r="C75" s="41">
        <f>A75*(5_Nos_chiffres!$C$5+5_Nos_chiffres!$C$6)/2</f>
        <v/>
      </c>
      <c r="D75" s="54">
        <f>C75*(B75-1)</f>
        <v/>
      </c>
    </row>
    <row r="76">
      <c r="A76" s="54" t="n">
        <v>0.64</v>
      </c>
      <c r="B76" s="27">
        <f>1+5_Nos_chiffres!$C$9*A76^2+5_Nos_chiffres!$C$10*A76^4+5_Nos_chiffres!$C$13*A76^6</f>
        <v/>
      </c>
      <c r="C76" s="41">
        <f>A76*(5_Nos_chiffres!$C$5+5_Nos_chiffres!$C$6)/2</f>
        <v/>
      </c>
      <c r="D76" s="54">
        <f>C76*(B76-1)</f>
        <v/>
      </c>
    </row>
    <row r="77">
      <c r="A77" s="54" t="n">
        <v>0.66</v>
      </c>
      <c r="B77" s="27">
        <f>1+5_Nos_chiffres!$C$9*A77^2+5_Nos_chiffres!$C$10*A77^4+5_Nos_chiffres!$C$13*A77^6</f>
        <v/>
      </c>
      <c r="C77" s="41">
        <f>A77*(5_Nos_chiffres!$C$5+5_Nos_chiffres!$C$6)/2</f>
        <v/>
      </c>
      <c r="D77" s="54">
        <f>C77*(B77-1)</f>
        <v/>
      </c>
    </row>
    <row r="78">
      <c r="A78" s="54" t="n">
        <v>0.68</v>
      </c>
      <c r="B78" s="27">
        <f>1+5_Nos_chiffres!$C$9*A78^2+5_Nos_chiffres!$C$10*A78^4+5_Nos_chiffres!$C$13*A78^6</f>
        <v/>
      </c>
      <c r="C78" s="41">
        <f>A78*(5_Nos_chiffres!$C$5+5_Nos_chiffres!$C$6)/2</f>
        <v/>
      </c>
      <c r="D78" s="54">
        <f>C78*(B78-1)</f>
        <v/>
      </c>
    </row>
    <row r="79">
      <c r="A79" s="54" t="n">
        <v>0.7</v>
      </c>
      <c r="B79" s="27">
        <f>1+5_Nos_chiffres!$C$9*A79^2+5_Nos_chiffres!$C$10*A79^4+5_Nos_chiffres!$C$13*A79^6</f>
        <v/>
      </c>
      <c r="C79" s="41">
        <f>A79*(5_Nos_chiffres!$C$5+5_Nos_chiffres!$C$6)/2</f>
        <v/>
      </c>
      <c r="D79" s="54">
        <f>C79*(B79-1)</f>
        <v/>
      </c>
    </row>
    <row r="81" ht="20" customHeight="1">
      <c r="A81" s="3" t="inlineStr">
        <is>
          <t>COMMENT LIRE CES COURBES</t>
        </is>
      </c>
    </row>
    <row r="82" ht="46" customHeight="1">
      <c r="A82" s="4" t="inlineStr">
        <is>
          <t>COURBE 1 — Les trois courbes ont la meme forme d'hyperbole : la distance est inversement proportionnelle a la taille apparente. Ce qui les separe, c'est uniquement la focale. La courbe SOUS L'EAU est nettement au-dessus : a taille apparente egale, un tag immerge est plus loin qu'en air — d'ou l'obligation de recalibrer en eau. La courbe SANS CALIBRATION montre l'erreur que coute une focale devinee.</t>
        </is>
      </c>
    </row>
    <row r="83" ht="60" customHeight="1">
      <c r="A83" s="4" t="inlineStr">
        <is>
          <t>COURBE 2 — Le deplacement est nul au centre et reste sous le pixel jusqu'a environ 180 px. Il culmine a +3.7 px vers 275 px, repasse par zero vers 330 px, puis devient fortement negatif : -34 px a 397 px, la ou le polynome cesse d'etre inversible (onglet 3_Distorsion). Les coins de l'image sont a 415 px du centre. A retenir : la distorsion est negligeable au centre de l'image, dominante sur les bords, et notre modele y est moins sur qu'ailleurs.</t>
        </is>
      </c>
    </row>
  </sheetData>
  <mergeCells count="10">
    <mergeCell ref="A82:I82"/>
    <mergeCell ref="A81:I81"/>
    <mergeCell ref="A41:I41"/>
    <mergeCell ref="A2:I2"/>
    <mergeCell ref="A42:I42"/>
    <mergeCell ref="A1:I1"/>
    <mergeCell ref="A9:I9"/>
    <mergeCell ref="A8:I8"/>
    <mergeCell ref="A83:I83"/>
    <mergeCell ref="A4:I4"/>
  </mergeCells>
  <pageMargins left="0.4" right="0.4" top="0.5" bottom="0.5"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C30"/>
  <sheetViews>
    <sheetView showGridLines="0" workbookViewId="0">
      <selection activeCell="A1" sqref="A1"/>
    </sheetView>
  </sheetViews>
  <sheetFormatPr baseColWidth="8" defaultRowHeight="15"/>
  <cols>
    <col width="6" customWidth="1" min="1" max="1"/>
    <col width="46" customWidth="1" min="2" max="2"/>
    <col width="54" customWidth="1" min="3" max="3"/>
    <col width="14" customWidth="1" min="4" max="4"/>
    <col width="12" customWidth="1" min="5" max="5"/>
    <col width="12" customWidth="1" min="6" max="6"/>
  </cols>
  <sheetData>
    <row r="1" ht="30" customHeight="1">
      <c r="A1" s="1" t="inlineStr">
        <is>
          <t>SOURCES</t>
        </is>
      </c>
    </row>
    <row r="2" ht="24" customHeight="1">
      <c r="A2" s="2" t="inlineStr">
        <is>
          <t>References theoriques et fichiers du depot.</t>
        </is>
      </c>
    </row>
    <row r="4" ht="20" customHeight="1">
      <c r="A4" s="3" t="inlineStr">
        <is>
          <t>ARTICLES ET OUVRAGES DE REFERENCE</t>
        </is>
      </c>
    </row>
    <row r="5">
      <c r="A5" s="6" t="inlineStr"/>
      <c r="B5" s="6" t="inlineStr">
        <is>
          <t>Reference</t>
        </is>
      </c>
      <c r="C5" s="6" t="inlineStr">
        <is>
          <t>Ce qu'on lui doit ici</t>
        </is>
      </c>
    </row>
    <row r="6" ht="46" customHeight="1">
      <c r="A6" s="19" t="inlineStr">
        <is>
          <t>[1]</t>
        </is>
      </c>
      <c r="B6" s="7" t="inlineStr">
        <is>
          <t>Z. Zhang, "A Flexible New Technique for Camera Calibration", IEEE Transactions on Pattern Analysis and Machine Intelligence, vol. 22, no. 11, pp. 1330-1334, 2000.</t>
        </is>
      </c>
      <c r="C6" s="7" t="inlineStr">
        <is>
          <t>La methode de calibration par damier plan : homographies, contraintes sur K, initialisation puis raffinement. C'est l'algorithme qu'implemente cv2.calibrateCamera.</t>
        </is>
      </c>
    </row>
    <row r="7" ht="46" customHeight="1">
      <c r="A7" s="19" t="inlineStr">
        <is>
          <t>[2]</t>
        </is>
      </c>
      <c r="B7" s="7" t="inlineStr">
        <is>
          <t>D. C. Brown, "Decentering Distortion of Lenses", Photogrammetric Engineering, vol. 32, no. 3, pp. 444-462, 1966.</t>
        </is>
      </c>
      <c r="C7" s="7" t="inlineStr">
        <is>
          <t>Le modele de distorsion radiale et tangentielle, dit Brown-Conrady — "plumb_bob" dans OpenCV et dans ROS.</t>
        </is>
      </c>
    </row>
    <row r="8" ht="46" customHeight="1">
      <c r="A8" s="19" t="inlineStr">
        <is>
          <t>[3]</t>
        </is>
      </c>
      <c r="B8" s="7" t="inlineStr">
        <is>
          <t>R. Hartley et A. Zisserman, "Multiple View Geometry in Computer Vision", 2e edition, Cambridge University Press, 2003.</t>
        </is>
      </c>
      <c r="C8" s="7" t="inlineStr">
        <is>
          <t>Le formalisme des coordonnees homogenes, la matrice K, la geometrie projective. Chapitre 6 pour le modele de camera.</t>
        </is>
      </c>
    </row>
    <row r="9" ht="46" customHeight="1">
      <c r="A9" s="19" t="inlineStr">
        <is>
          <t>[4]</t>
        </is>
      </c>
      <c r="B9" s="7" t="inlineStr">
        <is>
          <t>Documentation OpenCV, module calib3d : "Camera Calibration and 3D Reconstruction".</t>
        </is>
      </c>
      <c r="C9" s="7" t="inlineStr">
        <is>
          <t>Les conventions exactes du code : ordre des coefficients [k1 k2 p1 p2 k3], definition de l'erreur RMS renvoyee par calibrateCamera.</t>
        </is>
      </c>
    </row>
    <row r="10" ht="46" customHeight="1">
      <c r="A10" s="19" t="inlineStr">
        <is>
          <t>[5]</t>
        </is>
      </c>
      <c r="B10" s="7" t="inlineStr">
        <is>
          <t>T. Treibitz, Y. Y. Schechner, H. Singh, "Flat Refractive Geometry", IEEE CVPR, 2008.</t>
        </is>
      </c>
      <c r="C10" s="7" t="inlineStr">
        <is>
          <t>Le fait qu'une camera derriere un hublot plat immerge n'est plus centrale, et pourquoi le modele stenope n'y est qu'une approximation.</t>
        </is>
      </c>
    </row>
    <row r="11" ht="46" customHeight="1">
      <c r="A11" s="19" t="inlineStr">
        <is>
          <t>[6]</t>
        </is>
      </c>
      <c r="B11" s="7" t="inlineStr">
        <is>
          <t>A. Agrawal, S. Ramalingam, Y. Taguchi, V. Chari, "A Theory of Multi-Layer Flat Refractive Geometry", IEEE CVPR, 2012.</t>
        </is>
      </c>
      <c r="C11" s="7" t="inlineStr">
        <is>
          <t>La generalisation a plusieurs couches — ici eau / acrylique / air.</t>
        </is>
      </c>
    </row>
    <row r="12" ht="46" customHeight="1">
      <c r="A12" s="19" t="inlineStr">
        <is>
          <t>[7]</t>
        </is>
      </c>
      <c r="B12" s="7" t="inlineStr">
        <is>
          <t>E. Olson, "AprilTag: A Robust and Flexible Visual Fiducial System", IEEE ICRA, 2011.</t>
        </is>
      </c>
      <c r="C12" s="7" t="inlineStr">
        <is>
          <t>Le systeme de marqueurs utilise, et la facon dont les coins sont extraits puis affines au sous-pixel.</t>
        </is>
      </c>
    </row>
    <row r="14" ht="20" customHeight="1">
      <c r="A14" s="3" t="inlineStr">
        <is>
          <t>FICHIERS DU DEPOT UUV</t>
        </is>
      </c>
    </row>
    <row r="15">
      <c r="A15" s="6" t="inlineStr"/>
      <c r="B15" s="6" t="inlineStr">
        <is>
          <t>Fichier</t>
        </is>
      </c>
      <c r="C15" s="6" t="inlineStr">
        <is>
          <t>Role</t>
        </is>
      </c>
    </row>
    <row r="16" ht="28" customHeight="1">
      <c r="A16" s="13" t="inlineStr">
        <is>
          <t>[1]</t>
        </is>
      </c>
      <c r="B16" s="7" t="inlineStr">
        <is>
          <t>calibration/calibration.py</t>
        </is>
      </c>
      <c r="C16" s="7" t="inlineStr">
        <is>
          <t>Execute la calibration et ecrit les parametres. C'est lui qui a produit les chiffres de l'onglet 5.</t>
        </is>
      </c>
    </row>
    <row r="17" ht="28" customHeight="1">
      <c r="A17" s="13" t="inlineStr">
        <is>
          <t>[2]</t>
        </is>
      </c>
      <c r="B17" s="7" t="inlineStr">
        <is>
          <t>calibration/optique.py</t>
        </is>
      </c>
      <c r="C17" s="7" t="inlineStr">
        <is>
          <t>Les constantes optiques et le trace de rayon a travers la paroi cylindrique. Source des grandissements de l'onglet 6.</t>
        </is>
      </c>
    </row>
    <row r="18" ht="28" customHeight="1">
      <c r="A18" s="13" t="inlineStr">
        <is>
          <t>[3]</t>
        </is>
      </c>
      <c r="B18" s="7" t="inlineStr">
        <is>
          <t>calibration/demo_distance.py</t>
        </is>
      </c>
      <c r="C18" s="7" t="inlineStr">
        <is>
          <t>La verification au metre a ruban citee dans l'onglet 5.</t>
        </is>
      </c>
    </row>
    <row r="19" ht="28" customHeight="1">
      <c r="A19" s="13" t="inlineStr">
        <is>
          <t>[4]</t>
        </is>
      </c>
      <c r="B19" s="7" t="inlineStr">
        <is>
          <t>calibration/verifier_calibration.py</t>
        </is>
      </c>
      <c r="C19" s="7" t="inlineStr">
        <is>
          <t>Controle qu'un montage correspond toujours a sa calibration.</t>
        </is>
      </c>
    </row>
    <row r="20" ht="28" customHeight="1">
      <c r="A20" s="13" t="inlineStr">
        <is>
          <t>[5]</t>
        </is>
      </c>
      <c r="B20" s="7" t="inlineStr">
        <is>
          <t>calibration/montages/tube_air.npz</t>
        </is>
      </c>
      <c r="C20" s="7" t="inlineStr">
        <is>
          <t>Les parametres eux-memes, tels que charges par les scripts.</t>
        </is>
      </c>
    </row>
    <row r="21" ht="28" customHeight="1">
      <c r="A21" s="13" t="inlineStr">
        <is>
          <t>[6]</t>
        </is>
      </c>
      <c r="B21" s="7" t="inlineStr">
        <is>
          <t>calibration/montages/tube_air_ros.yaml</t>
        </is>
      </c>
      <c r="C21" s="7" t="inlineStr">
        <is>
          <t>Les memes, au format ROS, pour le noeud de Josiah.</t>
        </is>
      </c>
    </row>
    <row r="23" ht="20" customHeight="1">
      <c r="A23" s="3" t="inlineStr">
        <is>
          <t>MESURES PROPRES AU PROJET</t>
        </is>
      </c>
    </row>
    <row r="24">
      <c r="A24" s="6" t="inlineStr"/>
      <c r="B24" s="6" t="inlineStr">
        <is>
          <t>Mesure</t>
        </is>
      </c>
      <c r="C24" s="6" t="inlineStr">
        <is>
          <t>Detail</t>
        </is>
      </c>
    </row>
    <row r="25">
      <c r="A25" s="51" t="inlineStr">
        <is>
          <t>-</t>
        </is>
      </c>
      <c r="B25" s="7" t="inlineStr">
        <is>
          <t>Calibration tube_air</t>
        </is>
      </c>
      <c r="C25" s="7" t="inlineStr">
        <is>
          <t>12/08/2026, 31 vues, RMS 0.4445 px</t>
        </is>
      </c>
    </row>
    <row r="26">
      <c r="A26" s="51" t="inlineStr">
        <is>
          <t>-</t>
        </is>
      </c>
      <c r="B26" s="7" t="inlineStr">
        <is>
          <t>Calibration camera nue</t>
        </is>
      </c>
      <c r="C26" s="7" t="inlineStr">
        <is>
          <t>juillet 2026, reportee dans optique.py</t>
        </is>
      </c>
    </row>
    <row r="27">
      <c r="A27" s="51" t="inlineStr">
        <is>
          <t>-</t>
        </is>
      </c>
      <c r="B27" s="7" t="inlineStr">
        <is>
          <t>Verification au metre a ruban</t>
        </is>
      </c>
      <c r="C27" s="7" t="inlineStr">
        <is>
          <t>12/08/2026, tag de 22.3 cm a 1.000 m</t>
        </is>
      </c>
    </row>
    <row r="28">
      <c r="A28" s="51" t="inlineStr">
        <is>
          <t>-</t>
        </is>
      </c>
      <c r="B28" s="7" t="inlineStr">
        <is>
          <t>Bruit de detection d'un coin</t>
        </is>
      </c>
      <c r="C28" s="7" t="inlineStr">
        <is>
          <t>0.215 px (mesurer_bruit_tag.py, 14 captures)</t>
        </is>
      </c>
    </row>
    <row r="29">
      <c r="A29" s="51" t="inlineStr">
        <is>
          <t>-</t>
        </is>
      </c>
      <c r="B29" s="7" t="inlineStr">
        <is>
          <t>Tube</t>
        </is>
      </c>
      <c r="C29" s="7" t="inlineStr">
        <is>
          <t>Blue Robotics BR-100230-151, acrylique coule, DI 49.5 mm, DE 58.0 mm, paroi 4.25 mm</t>
        </is>
      </c>
    </row>
    <row r="30">
      <c r="A30" s="51" t="inlineStr">
        <is>
          <t>-</t>
        </is>
      </c>
      <c r="B30" s="7" t="inlineStr">
        <is>
          <t>Decentrement de la pupille</t>
        </is>
      </c>
      <c r="C30" s="7" t="inlineStr">
        <is>
          <t>3.15 mm par rapport a l'axe du tube (deduit de la calibration en air)</t>
        </is>
      </c>
    </row>
  </sheetData>
  <mergeCells count="5">
    <mergeCell ref="A1:C1"/>
    <mergeCell ref="A23:C23"/>
    <mergeCell ref="A14:C14"/>
    <mergeCell ref="A4:C4"/>
    <mergeCell ref="A2:C2"/>
  </mergeCells>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2026-08-12T23:52:00Z</dcterms:created>
  <dcterms:modified xsi:type="dcterms:W3CDTF">2026-08-12T23:52:00Z</dcterms:modified>
</cp:coreProperties>
</file>