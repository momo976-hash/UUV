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re_dabord" sheetId="1" state="visible" r:id="rId3"/>
    <sheet name="1_Fonction" sheetId="2" state="visible" r:id="rId4"/>
    <sheet name="2_Exemple" sheetId="3" state="visible" r:id="rId5"/>
    <sheet name="3_Distorsion" sheetId="4" state="visible" r:id="rId6"/>
    <sheet name="4_Calibration" sheetId="5" state="visible" r:id="rId7"/>
    <sheet name="5_Nos_chiffres" sheetId="6" state="visible" r:id="rId8"/>
    <sheet name="6_Sous_leau" sheetId="7" state="visible" r:id="rId9"/>
    <sheet name="7_Courbes" sheetId="8" state="visible" r:id="rId10"/>
    <sheet name="Sourc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<sst xmlns="http://schemas.openxmlformats.org/spreadsheetml/2006/main" count="472" uniqueCount="431">
  <si>
    <t xml:space="preserve">LA FONCTION DE LA CALIBRATION</t>
  </si>
  <si>
    <t xml:space="preserve">Localisation d'un UUV par AprilTags — RealSense D435i dans un tube Blue Robotics. Dossier prepare le 12/08/2026.</t>
  </si>
  <si>
    <t xml:space="preserve">LA QUESTION</t>
  </si>
  <si>
    <t xml:space="preserve">"Quelle est la fonction de la calibration ?" — c'est-a-dire : quelle fonction mathematique l'operation de calibration cherche-t-elle a determiner, et comment la determine-t-on ?</t>
  </si>
  <si>
    <t xml:space="preserve">LA REPONSE EN UNE LIGNE</t>
  </si>
  <si>
    <t xml:space="preserve">La calibration determine la fonction de PROJECTION : celle qui, a un point de l'espace, associe le pixel ou la camera le voit.</t>
  </si>
  <si>
    <t xml:space="preserve">m  =  pi( M ; K , d , R , t )        soit        (u, v)  =  pi( X, Y, Z )</t>
  </si>
  <si>
    <t xml:space="preserve">Calibrer, c'est trouver les valeurs numeriques des parametres K (4 nombres) et d (5 nombres) qui font que cette fonction reproduit ce que la camera voit reellement. C'est un probleme de moindres carres non lineaires.</t>
  </si>
  <si>
    <t xml:space="preserve">LES QUATRE ETAPES DE LA FONCTION</t>
  </si>
  <si>
    <t xml:space="preserve">Etape</t>
  </si>
  <si>
    <t xml:space="preserve">Ce qu'elle fait</t>
  </si>
  <si>
    <t xml:space="preserve">Formule</t>
  </si>
  <si>
    <t xml:space="preserve">Parametres</t>
  </si>
  <si>
    <t xml:space="preserve">Combien</t>
  </si>
  <si>
    <t xml:space="preserve">1. Repere</t>
  </si>
  <si>
    <t xml:space="preserve">Monde -&gt; camera</t>
  </si>
  <si>
    <t xml:space="preserve">Pc = R.M + t</t>
  </si>
  <si>
    <t xml:space="preserve">R, t</t>
  </si>
  <si>
    <t xml:space="preserve">6 par vue</t>
  </si>
  <si>
    <t xml:space="preserve">2. Projection</t>
  </si>
  <si>
    <t xml:space="preserve">Espace -&gt; plan image</t>
  </si>
  <si>
    <t xml:space="preserve">x = Xc/Zc ; y = Yc/Zc</t>
  </si>
  <si>
    <t xml:space="preserve">aucun</t>
  </si>
  <si>
    <t xml:space="preserve">0</t>
  </si>
  <si>
    <t xml:space="preserve">3. Distorsion</t>
  </si>
  <si>
    <t xml:space="preserve">Corrige la lentille</t>
  </si>
  <si>
    <t xml:space="preserve">xd = x.(1+k1r2+k2r4+k3r6) + tangentiel</t>
  </si>
  <si>
    <t xml:space="preserve">k1 k2 p1 p2 k3</t>
  </si>
  <si>
    <t xml:space="preserve">5</t>
  </si>
  <si>
    <t xml:space="preserve">4. Capteur</t>
  </si>
  <si>
    <t xml:space="preserve">Plan image -&gt; pixels</t>
  </si>
  <si>
    <t xml:space="preserve">u = fx.xd + cx ; v = fy.yd + cy</t>
  </si>
  <si>
    <t xml:space="preserve">fx fy cx cy</t>
  </si>
  <si>
    <t xml:space="preserve">4</t>
  </si>
  <si>
    <t xml:space="preserve">OU TROUVER QUOI</t>
  </si>
  <si>
    <t xml:space="preserve">Onglet</t>
  </si>
  <si>
    <t xml:space="preserve">Contenu</t>
  </si>
  <si>
    <t xml:space="preserve">1_Fonction</t>
  </si>
  <si>
    <t xml:space="preserve">La fonction etape par etape, avec le tableau des symboles.</t>
  </si>
  <si>
    <t xml:space="preserve">2_Exemple</t>
  </si>
  <si>
    <t xml:space="preserve">Un point 3D pousse dans la fonction jusqu'au pixel. Les cellules bleues sont modifiables : tout se recalcule.</t>
  </si>
  <si>
    <t xml:space="preserve">3_Distorsion</t>
  </si>
  <si>
    <t xml:space="preserve">Le modele de distorsion, et jusqu'ou nos coefficients sont valables.</t>
  </si>
  <si>
    <t xml:space="preserve">4_Calibration</t>
  </si>
  <si>
    <t xml:space="preserve">Comment on TROUVE les parametres : moindres carres, methode de Zhang, Levenberg-Marquardt.</t>
  </si>
  <si>
    <t xml:space="preserve">5_Nos_chiffres</t>
  </si>
  <si>
    <t xml:space="preserve">Les valeurs mesurees sur notre camera, hors tube et dans le tube.</t>
  </si>
  <si>
    <t xml:space="preserve">6_Sous_leau</t>
  </si>
  <si>
    <t xml:space="preserve">Ce que devient la fonction une fois le tube immerge, et la limite du modele.</t>
  </si>
  <si>
    <t xml:space="preserve">7_Courbes</t>
  </si>
  <si>
    <t xml:space="preserve">Les courbes : distance selon la taille apparente, et profil de distorsion.</t>
  </si>
  <si>
    <t xml:space="preserve">Sources</t>
  </si>
  <si>
    <t xml:space="preserve">References bibliographiques et fichiers du depot.</t>
  </si>
  <si>
    <t xml:space="preserve">CODE COULEUR DES CELLULES</t>
  </si>
  <si>
    <t xml:space="preserve">[ ]</t>
  </si>
  <si>
    <t xml:space="preserve">Bleu : nombre mesure ou constante physique. C'est une ENTREE, elle ne se calcule pas.</t>
  </si>
  <si>
    <t xml:space="preserve">Noir : resultat d'une formule Excel. Se recalcule tout seul.</t>
  </si>
  <si>
    <t xml:space="preserve">Vert : valeur reprise d'un autre onglet.</t>
  </si>
  <si>
    <t xml:space="preserve">LES CHIFFRES CLES</t>
  </si>
  <si>
    <t xml:space="preserve">Montage calibre</t>
  </si>
  <si>
    <t xml:space="preserve">Focale fx (px)</t>
  </si>
  <si>
    <t xml:space="preserve">Focale fy (px)</t>
  </si>
  <si>
    <t xml:space="preserve">Erreur RMS de reprojection (px)</t>
  </si>
  <si>
    <t xml:space="preserve">Vues utilisees</t>
  </si>
  <si>
    <t xml:space="preserve">fx prevu sous l'eau (px)</t>
  </si>
  <si>
    <t xml:space="preserve">fy prevu sous l'eau (px)</t>
  </si>
  <si>
    <t xml:space="preserve">1. LA FONCTION, ETAPE PAR ETAPE</t>
  </si>
  <si>
    <t xml:space="preserve">De la position d'un point dans le bassin au pixel dans l'image.</t>
  </si>
  <si>
    <t xml:space="preserve">CE QU'ON CHERCHE</t>
  </si>
  <si>
    <t xml:space="preserve">Une camera transforme un point de l'espace en un point de l'image. C'est une fonction : elle prend trois nombres (X, Y, Z) et en rend deux (u, v). Sa FORME est connue d'avance — c'est de la geometrie. Ce sont ses COEFFICIENTS qui sont propres a chaque exemplaire de camera, et c'est eux que la calibration mesure.</t>
  </si>
  <si>
    <t xml:space="preserve">pi :  R3  -&gt;  R2        (X, Y, Z)  |-&gt;  (u, v)</t>
  </si>
  <si>
    <t xml:space="preserve">ETAPE 1 — DU MONDE A LA CAMERA   (parametres EXTRINSEQUES)</t>
  </si>
  <si>
    <t xml:space="preserve">On exprime d'abord le point dans le repere de la camera plutot que dans celui du bassin : une rotation suivie d'une translation. C'est un deplacement rigide, il ne deforme rien.</t>
  </si>
  <si>
    <t xml:space="preserve">Pc = R . M + t          R : rotation 3x3 (3 libertes) , t : translation (3 libertes)</t>
  </si>
  <si>
    <t xml:space="preserve">R et t decrivent OU EST LA CAMERA, pas comment elle est faite. Ils changent a chaque image : ce ne sont donc pas eux qu'on calibre. Mais il faut les estimer en meme temps, car on ne peut pas les separer du reste. On stocke R sous forme d'un vecteur de Rodrigues (3 nombres) : une rotation n'a que 3 degres de liberte, pas 9.</t>
  </si>
  <si>
    <t xml:space="preserve">ETAPE 2 — LA PROJECTION CENTRALE   (aucun parametre)</t>
  </si>
  <si>
    <t xml:space="preserve">C'est le cœur du modele stenope ("pinhole") : tout rayon passe par un point unique, le centre optique. Par le theoreme de Thales, un objet deux fois plus loin parait deux fois plus petit.</t>
  </si>
  <si>
    <t xml:space="preserve">x = Xc / Zc            y = Yc / Zc</t>
  </si>
  <si>
    <t xml:space="preserve">Cette division par Zc est la SEULE non-linearite du modele ideal, et c'est elle qui porte toute l'information de distance. Les coordonnees (x, y) obtenues sont sans unite : elles decrivent une DIRECTION, pas une position. C'est pourquoi une image seule ne donne jamais la distance — il faut connaitre la taille reelle de l'objet. Dans notre projet, c'est le cote connu du tag (22.3 cm) qui leve l'ambiguite.</t>
  </si>
  <si>
    <t xml:space="preserve">ETAPE 3 — LA DISTORSION   (5 parametres)</t>
  </si>
  <si>
    <t xml:space="preserve">Une vraie lentille n'obeit pas exactement au stenope : les rayons qui la traversent loin du centre sont devies un peu trop, ou pas assez. On corrige par un polynome en r, la distance au centre optique. Detail dans l'onglet 3_Distorsion.</t>
  </si>
  <si>
    <t xml:space="preserve">r2 = x2 + y2     xd = x.(1 + k1.r2 + k2.r4 + k3.r6) + 2.p1.x.y + p2.(r2 + 2x2)</t>
  </si>
  <si>
    <t xml:space="preserve">                 yd = y.(1 + k1.r2 + k2.r4 + k3.r6) + p1.(r2 + 2y2) + 2.p2.x.y</t>
  </si>
  <si>
    <t xml:space="preserve">ETAPE 4 — DU PLAN IMAGE AUX PIXELS   (parametres INTRINSEQUES)</t>
  </si>
  <si>
    <t xml:space="preserve">Enfin on passe des coordonnees normalisees aux pixels : un simple changement d'echelle et d'origine.</t>
  </si>
  <si>
    <t xml:space="preserve">u = fx . xd + cx            v = fy . yd + cy</t>
  </si>
  <si>
    <t xml:space="preserve">Sous forme matricielle, en coordonnees homogenes :</t>
  </si>
  <si>
    <t xml:space="preserve">K  =  [ fx   0   cx  ;   0   fy   cy  ;   0    0    1 ]</t>
  </si>
  <si>
    <t xml:space="preserve">TABLEAU DES SYMBOLES</t>
  </si>
  <si>
    <t xml:space="preserve">Symbole</t>
  </si>
  <si>
    <t xml:space="preserve">Nom</t>
  </si>
  <si>
    <t xml:space="preserve">Unite</t>
  </si>
  <si>
    <t xml:space="preserve">Ce que c'est physiquement</t>
  </si>
  <si>
    <t xml:space="preserve">M = (X,Y,Z)</t>
  </si>
  <si>
    <t xml:space="preserve">point objet</t>
  </si>
  <si>
    <t xml:space="preserve">metres</t>
  </si>
  <si>
    <t xml:space="preserve">un coin de tag dans le repere du bassin</t>
  </si>
  <si>
    <t xml:space="preserve">pose de la camera</t>
  </si>
  <si>
    <t xml:space="preserve">— / metres</t>
  </si>
  <si>
    <t xml:space="preserve">ou est la camera au moment de la prise</t>
  </si>
  <si>
    <t xml:space="preserve">(x, y)</t>
  </si>
  <si>
    <t xml:space="preserve">coord. normalisees</t>
  </si>
  <si>
    <t xml:space="preserve">sans unite</t>
  </si>
  <si>
    <t xml:space="preserve">direction du rayon : tangente de l'angle</t>
  </si>
  <si>
    <t xml:space="preserve">r</t>
  </si>
  <si>
    <t xml:space="preserve">rayon normalise</t>
  </si>
  <si>
    <t xml:space="preserve">distance au centre optique, plan normalise</t>
  </si>
  <si>
    <t xml:space="preserve">fx, fy</t>
  </si>
  <si>
    <t xml:space="preserve">focales</t>
  </si>
  <si>
    <t xml:space="preserve">pixels</t>
  </si>
  <si>
    <t xml:space="preserve">focale en mm divisee par la taille d'un pixel</t>
  </si>
  <si>
    <t xml:space="preserve">cx, cy</t>
  </si>
  <si>
    <t xml:space="preserve">point principal</t>
  </si>
  <si>
    <t xml:space="preserve">ou l'axe optique perce le capteur</t>
  </si>
  <si>
    <t xml:space="preserve">k1, k2, k3</t>
  </si>
  <si>
    <t xml:space="preserve">distorsion radiale</t>
  </si>
  <si>
    <t xml:space="preserve">l'effet barillet ou coussinet</t>
  </si>
  <si>
    <t xml:space="preserve">p1, p2</t>
  </si>
  <si>
    <t xml:space="preserve">distorsion tangentielle</t>
  </si>
  <si>
    <t xml:space="preserve">lentille non parallele au capteur</t>
  </si>
  <si>
    <t xml:space="preserve">(u, v)</t>
  </si>
  <si>
    <t xml:space="preserve">pixel</t>
  </si>
  <si>
    <t xml:space="preserve">ce que le detecteur d'AprilTag mesure</t>
  </si>
  <si>
    <t xml:space="preserve">POURQUOI DEUX FOCALES ET PAS UNE</t>
  </si>
  <si>
    <t xml:space="preserve">fx et fy sont la meme focale physique exprimee dans deux unites : le pas des pixels en horizontal et en vertical. Sur un capteur a pixels carres, fx = fy. Notre cas est particulier : la camera est couchee dans le tube et regarde a travers la paroi cylindrique, si bien que les deux axes de l'image ne traversent PAS la meme optique. L'ecart entre fx et fy devient alors physique — et il explose sous l'eau (onglet 6_Sous_leau).</t>
  </si>
  <si>
    <t xml:space="preserve">COMBIEN D'INCONNUES EN TOUT</t>
  </si>
  <si>
    <t xml:space="preserve">Intrinseques (K)</t>
  </si>
  <si>
    <t xml:space="preserve">fx, fy, cx, cy — le "skew" est suppose nul</t>
  </si>
  <si>
    <t xml:space="preserve">Distorsion (d)</t>
  </si>
  <si>
    <t xml:space="preserve">k1, k2, p1, p2, k3 — modele plumb_bob d'OpenCV</t>
  </si>
  <si>
    <t xml:space="preserve">Extrinseques, par vue</t>
  </si>
  <si>
    <t xml:space="preserve">3 pour la rotation + 3 pour la translation</t>
  </si>
  <si>
    <t xml:space="preserve">TOTAL pour nos 31 vues</t>
  </si>
  <si>
    <t xml:space="preserve">seuls les 9 premiers nous interessent ; les autres sont le prix a payer pour les obtenir</t>
  </si>
  <si>
    <t xml:space="preserve">2. UN POINT POUSSE DANS LA FONCTION</t>
  </si>
  <si>
    <t xml:space="preserve">Toutes les cellules bleues sont modifiables : change-les et le pixel final se recalcule.</t>
  </si>
  <si>
    <t xml:space="preserve">ENTREE — UN POINT DE L'ESPACE</t>
  </si>
  <si>
    <t xml:space="preserve">Point M dans le repere du monde</t>
  </si>
  <si>
    <t xml:space="preserve">X (m)</t>
  </si>
  <si>
    <t xml:space="preserve">vers la droite</t>
  </si>
  <si>
    <t xml:space="preserve">Y (m)</t>
  </si>
  <si>
    <t xml:space="preserve">vers le bas</t>
  </si>
  <si>
    <t xml:space="preserve">Z (m)</t>
  </si>
  <si>
    <t xml:space="preserve">vers l'avant : la distance a la camera</t>
  </si>
  <si>
    <t xml:space="preserve">Pose de la camera : rotation R (3x3) et translation t (3x1)</t>
  </si>
  <si>
    <t xml:space="preserve">t</t>
  </si>
  <si>
    <t xml:space="preserve">Par defaut R = identite et t = 0 : le repere du monde EST celui de la camera. Modifie-les pour deplacer la camera.</t>
  </si>
  <si>
    <t xml:space="preserve">R  ligne 1</t>
  </si>
  <si>
    <t xml:space="preserve">R  ligne 2</t>
  </si>
  <si>
    <t xml:space="preserve">R  ligne 3</t>
  </si>
  <si>
    <t xml:space="preserve">ETAPE 1 — REPERE MONDE VERS CAMERA :  Pc = R.M + t</t>
  </si>
  <si>
    <t xml:space="preserve">Xc (m)</t>
  </si>
  <si>
    <t xml:space="preserve">produit matriciel ecrit terme a terme</t>
  </si>
  <si>
    <t xml:space="preserve">Yc (m)</t>
  </si>
  <si>
    <t xml:space="preserve">Zc (m)</t>
  </si>
  <si>
    <t xml:space="preserve">ETAPE 2 — PROJECTION CENTRALE :  x = Xc/Zc ,  y = Yc/Zc</t>
  </si>
  <si>
    <t xml:space="preserve">x (normalise)</t>
  </si>
  <si>
    <t xml:space="preserve">sans unite : tangente de l'angle avec l'axe optique. Vide si le point est derriere la camera.</t>
  </si>
  <si>
    <t xml:space="preserve">y (normalise)</t>
  </si>
  <si>
    <t xml:space="preserve">ETAPE 3 — DISTORSION</t>
  </si>
  <si>
    <t xml:space="preserve">r2 = x2 + y2</t>
  </si>
  <si>
    <t xml:space="preserve">r  (rayon normalise)</t>
  </si>
  <si>
    <t xml:space="preserve">facteur radial  1+k1.r2+k2.r4+k3.r6</t>
  </si>
  <si>
    <t xml:space="preserve">k1, k2, k3, p1, p2 viennent de l'onglet 5_Nos_chiffres</t>
  </si>
  <si>
    <t xml:space="preserve">terme tangentiel en x</t>
  </si>
  <si>
    <t xml:space="preserve">terme tangentiel en y</t>
  </si>
  <si>
    <t xml:space="preserve">xd  (x distordu)</t>
  </si>
  <si>
    <t xml:space="preserve">yd  (y distordu)</t>
  </si>
  <si>
    <t xml:space="preserve">ETAPE 4 — PIXELS</t>
  </si>
  <si>
    <t xml:space="preserve">u  (colonne, px)</t>
  </si>
  <si>
    <t xml:space="preserve">voila le pixel ou la camera voit le point : la fonction de calibration, appliquee.</t>
  </si>
  <si>
    <t xml:space="preserve">v  (ligne, px)</t>
  </si>
  <si>
    <t xml:space="preserve">dans l'image 640x480 ?</t>
  </si>
  <si>
    <t xml:space="preserve">LE CHEMIN INVERSE — CE QUI SERT DANS LE PROJET</t>
  </si>
  <si>
    <t xml:space="preserve">Une image seule ne donne pas la distance : (x, y) n'est qu'une direction. Mais si l'objet a une taille CONNUE, on la retrouve. Pour un tag de cote S vu de face a la distance d, son cote apparent vaut s = fx.S/d, d'ou :</t>
  </si>
  <si>
    <t xml:space="preserve">d  =  fx . S / s</t>
  </si>
  <si>
    <t xml:space="preserve">Cote reel du tag S (m)</t>
  </si>
  <si>
    <t xml:space="preserve">les deux tags du bassin : 0.223 m et 0.115 m</t>
  </si>
  <si>
    <t xml:space="preserve">Cote apparent mesure s (px)</t>
  </si>
  <si>
    <t xml:space="preserve">Distance calculee d (m)</t>
  </si>
  <si>
    <t xml:space="preserve">Mesure au metre le 12/08 : 1.000 m. L'ecart vient de l'inclinaison du tag : la formule ci-dessus le suppose vu de face, alors que solvePnP utilise les 4 coins et gere l'inclinaison.</t>
  </si>
  <si>
    <t xml:space="preserve">3. LA DISTORSION</t>
  </si>
  <si>
    <t xml:space="preserve">Le modele plumb_bob (Brown-Conrady), et la validite de nos coefficients.</t>
  </si>
  <si>
    <t xml:space="preserve">POURQUOI ELLE EXISTE</t>
  </si>
  <si>
    <t xml:space="preserve">Le stenope suppose que tout rayon file droit par un point unique. Une lentille reelle devie davantage les rayons qui la traversent loin de son centre : une droite du monde devient une courbe dans l'image. C'est d'autant plus marque que l'objectif est grand-angle — et notre camera regarde en plus a travers 4.25 mm d'acrylique.</t>
  </si>
  <si>
    <t xml:space="preserve">LE MODELE</t>
  </si>
  <si>
    <t xml:space="preserve">radial :      xr = x . ( 1 + k1.r2 + k2.r4 + k3.r6 )</t>
  </si>
  <si>
    <t xml:space="preserve">tangentiel :  xd = xr + 2.p1.x.y + p2.(r2 + 2x2)</t>
  </si>
  <si>
    <t xml:space="preserve">Le terme RADIAL est pair en r : il ne depend que de la distance au centre, pas de la direction. Il traduit la symetrie de revolution d'une lentille. Le terme TANGENTIEL corrige le fait que la lentille n'est jamais parfaitement parallele au capteur ; il reste toujours petit.</t>
  </si>
  <si>
    <t xml:space="preserve">Pourquoi un polynome, et pourquoi seulement des puissances paires ? Parce qu'une fonction reguliere et invariante par rotation autour du centre ne peut dependre que de r2. On tronque a r6 : au-dela, on ajusterait du bruit plutot que de la physique.</t>
  </si>
  <si>
    <t xml:space="preserve">NOS COEFFICIENTS   (montage tube_air)</t>
  </si>
  <si>
    <t xml:space="preserve">Coefficient</t>
  </si>
  <si>
    <t xml:space="preserve">Valeur</t>
  </si>
  <si>
    <t xml:space="preserve">Type</t>
  </si>
  <si>
    <t xml:space="preserve">Ordre de grandeur</t>
  </si>
  <si>
    <t xml:space="preserve">k1</t>
  </si>
  <si>
    <t xml:space="preserve">radial, terme en r2</t>
  </si>
  <si>
    <t xml:space="preserve">quasi nul</t>
  </si>
  <si>
    <t xml:space="preserve">k2</t>
  </si>
  <si>
    <t xml:space="preserve">radial, terme en r4</t>
  </si>
  <si>
    <t xml:space="preserve">dominant, positif</t>
  </si>
  <si>
    <t xml:space="preserve">p1</t>
  </si>
  <si>
    <t xml:space="preserve">tangentiel</t>
  </si>
  <si>
    <t xml:space="preserve">negligeable</t>
  </si>
  <si>
    <t xml:space="preserve">p2</t>
  </si>
  <si>
    <t xml:space="preserve">k3</t>
  </si>
  <si>
    <t xml:space="preserve">radial, terme en r6</t>
  </si>
  <si>
    <t xml:space="preserve">dominant, negatif</t>
  </si>
  <si>
    <t xml:space="preserve">JUSQU'OU CE POLYNOME EST-IL VALABLE ?</t>
  </si>
  <si>
    <t xml:space="preserve">Question rarement posee, et pourtant decisive : un polynome ajuste ne vaut que la ou il y avait des donnees. Le rayon normalise r vaut 0 au centre de l'image et atteint son maximum dans les coins.</t>
  </si>
  <si>
    <t xml:space="preserve">Position dans l'image</t>
  </si>
  <si>
    <t xml:space="preserve">Comment on l'obtient</t>
  </si>
  <si>
    <t xml:space="preserve">Centre optique</t>
  </si>
  <si>
    <t xml:space="preserve">nul par construction</t>
  </si>
  <si>
    <t xml:space="preserve">Milieu du bord droit</t>
  </si>
  <si>
    <t xml:space="preserve">soit (largeur - cx) / fx</t>
  </si>
  <si>
    <t xml:space="preserve">Coin le plus eloigne du centre</t>
  </si>
  <si>
    <t xml:space="preserve">coin superieur gauche : SQRT((cx/fx)2 + (cy/fy)2)</t>
  </si>
  <si>
    <t xml:space="preserve">r ou le modele SE RETOURNE</t>
  </si>
  <si>
    <t xml:space="preserve">au-dela, r.facteur(r) cesse de croitre avec r</t>
  </si>
  <si>
    <t xml:space="preserve">calcule en balayant r de 0 a 1.2</t>
  </si>
  <si>
    <t xml:space="preserve">CONSTAT : le modele n'est plus inversible au-dela de r = 0.66, alors que les coins de l'image montent a 0.69. Passe ce seuil, deux directions differentes du monde donneraient le meme rayon dans l'image — ce qui est physiquement impossible pour une vraie lentille. Cela ne concerne que 0.17 % des pixels : une bande etroite dans les deux coins superieurs. Sur 99.8 % de l'image, le modele est bien conditionne.</t>
  </si>
  <si>
    <t xml:space="preserve">D'ou cela vient-il ? k2 = +1.05 et k3 = -3.43 sont grands et de signes opposes : c'est la signature classique d'un polynome d'ordre eleve ajuste sur des donnees qui ne couvraient pas les coins. Le damier n'a probablement pas ete promene jusque dans les angles de l'image.</t>
  </si>
  <si>
    <t xml:space="preserve">CONSEQUENCE PRATIQUE : un tag detecte tout au bord de l'image sera moins bien corrige que les autres. A la prochaine calibration, penser a couvrir les quatre coins.</t>
  </si>
  <si>
    <t xml:space="preserve">4. COMMENT ON TROUVE LES PARAMETRES</t>
  </si>
  <si>
    <t xml:space="preserve">Le probleme inverse : de quelques photos d'un damier aux 9 nombres de la camera.</t>
  </si>
  <si>
    <t xml:space="preserve">LE PRINCIPE</t>
  </si>
  <si>
    <t xml:space="preserve">On ne peut pas mesurer fx au pied a coulisse. En revanche on peut montrer a la camera un objet dont on connait parfaitement la geometrie — un damier imprime — et regarder ou ses coins tombent dans l'image. La fonction de projection doit reproduire ces observations. On cherche donc les parametres qui minimisent l'ecart entre ce qu'on OBSERVE et ce que la fonction PREDIT.</t>
  </si>
  <si>
    <t xml:space="preserve">CE QU'ON CONNAIT, CE QU'ON CHERCHE</t>
  </si>
  <si>
    <t xml:space="preserve">Quantite</t>
  </si>
  <si>
    <t xml:space="preserve">Statut</t>
  </si>
  <si>
    <t xml:space="preserve">Mj</t>
  </si>
  <si>
    <t xml:space="preserve">positions 3D des coins du damier</t>
  </si>
  <si>
    <t xml:space="preserve">CONNU — on l'a imprime : carreaux de 50 mm, 6 x 4 coins interieurs</t>
  </si>
  <si>
    <t xml:space="preserve">mij</t>
  </si>
  <si>
    <t xml:space="preserve">pixels des coins detectes</t>
  </si>
  <si>
    <t xml:space="preserve">MESURE — par findChessboardCorners, affine au sous-pixel</t>
  </si>
  <si>
    <t xml:space="preserve">K, d</t>
  </si>
  <si>
    <t xml:space="preserve">intrinseques et distorsion</t>
  </si>
  <si>
    <t xml:space="preserve">INCONNU — c'est ce qu'on cherche</t>
  </si>
  <si>
    <t xml:space="preserve">Ri, ti</t>
  </si>
  <si>
    <t xml:space="preserve">pose du damier a chaque vue</t>
  </si>
  <si>
    <t xml:space="preserve">INCONNU — parametre de nuisance, mais inseparable du reste</t>
  </si>
  <si>
    <t xml:space="preserve">LA FONCTION DE COUT</t>
  </si>
  <si>
    <t xml:space="preserve">On somme, sur toutes les vues i et tous les coins j, le carre de la distance entre le pixel observe et le pixel predit. C'est l'ERREUR DE REPROJECTION.</t>
  </si>
  <si>
    <t xml:space="preserve">E( K, d, {Ri, ti} )  =  SOMME_i  SOMME_j   || mij  -  pi( Mj ; K, d, Ri, ti ) ||2</t>
  </si>
  <si>
    <t xml:space="preserve">Minimiser E, c'est resoudre un probleme de MOINDRES CARRES NON LINEAIRES : la fonction pi contient une division (etape 2) et un polynome (etape 3), donc E n'est pas quadratique en les parametres. Il n'existe pas de solution analytique — on itere.</t>
  </si>
  <si>
    <t xml:space="preserve">LE PROBLEME EST-IL BIEN POSE ?</t>
  </si>
  <si>
    <t xml:space="preserve">Commentaire</t>
  </si>
  <si>
    <t xml:space="preserve">photos du damier retenues, le 12/08</t>
  </si>
  <si>
    <t xml:space="preserve">Coins par vue</t>
  </si>
  <si>
    <t xml:space="preserve">6 x 4 coins interieurs</t>
  </si>
  <si>
    <t xml:space="preserve">Equations disponibles</t>
  </si>
  <si>
    <t xml:space="preserve">chaque coin donne 2 equations : u et v</t>
  </si>
  <si>
    <t xml:space="preserve">Inconnues</t>
  </si>
  <si>
    <t xml:space="preserve">9 intrinseques + 6 par vue</t>
  </si>
  <si>
    <t xml:space="preserve">Rapport equations / inconnues</t>
  </si>
  <si>
    <t xml:space="preserve">au-dela de 3, le systeme est confortablement surdetermine</t>
  </si>
  <si>
    <t xml:space="preserve">Erreur RMS obtenue (px)</t>
  </si>
  <si>
    <t xml:space="preserve">valeur renvoyee par cv2.calibrateCamera. Sous 0.5 px, la calibration est consideree bonne.</t>
  </si>
  <si>
    <t xml:space="preserve">Note : le script affiche aussi une seconde erreur, plus petite (0.0626 px). Elle emploie une autre normalisation — la norme du residu d'une vue divisee par le NOMBRE de points, et non par sa racine carree — et n'est donc pas comparable a une RMS par point. C'est la RMS ci-dessus qui fait foi.</t>
  </si>
  <si>
    <t xml:space="preserve">L'ALGORITHME, EN DEUX TEMPS</t>
  </si>
  <si>
    <t xml:space="preserve">Levenberg-Marquardt a besoin d'un point de depart raisonnable, sinon il converge vers un minimum local absurde. D'ou la methode de Zhang (2000), qui fournit une premiere estimation par le calcul direct.</t>
  </si>
  <si>
    <t xml:space="preserve">Ce qui se passe</t>
  </si>
  <si>
    <t xml:space="preserve">A</t>
  </si>
  <si>
    <t xml:space="preserve">Homographie par vue</t>
  </si>
  <si>
    <t xml:space="preserve">Le damier est PLAN : dans son propre repere, Z = 0. La projection d'un plan vers l'image se reduit alors a une homographie H — matrice 3x3 a 8 degres de liberte — que l'on estime lineairement (DLT).</t>
  </si>
  <si>
    <t xml:space="preserve">B</t>
  </si>
  <si>
    <t xml:space="preserve">Contraintes sur K</t>
  </si>
  <si>
    <t xml:space="preserve">Les deux premieres colonnes d'une matrice de rotation sont orthogonales et de meme norme. Traduit sur H, cela fournit 2 equations lineaires par vue portant sur la matrice B = K^-T . K^-1.</t>
  </si>
  <si>
    <t xml:space="preserve">C</t>
  </si>
  <si>
    <t xml:space="preserve">K par le calcul</t>
  </si>
  <si>
    <t xml:space="preserve">Avec 3 vues ou plus, on resout ce systeme lineaire en B, puis on remonte a K par une factorisation de Cholesky. On en deduit Ri et ti de chaque vue.</t>
  </si>
  <si>
    <t xml:space="preserve">D</t>
  </si>
  <si>
    <t xml:space="preserve">Raffinement global</t>
  </si>
  <si>
    <t xml:space="preserve">On lache Levenberg-Marquardt sur TOUS les parametres a la fois — K, distorsion, et les Ri, ti — en minimisant l'erreur de reprojection ci-dessus. C'est ce que fait cv2.calibrateCamera.</t>
  </si>
  <si>
    <t xml:space="preserve">POURQUOI PLUSIEURS VUES, SOUS DES ANGLES DIFFERENTS</t>
  </si>
  <si>
    <t xml:space="preserve">Une seule vue frontale ne suffit pas : rien n'y distingue un damier deux fois plus grand place deux fois plus loin. Il faut INCLINER le damier pour que la perspective donne l'echelle, et le promener dans tout le champ pour contraindre la distorsion la ou elle agit — c'est-a-dire loin du centre. C'est exactement ce qui a manque dans les coins (onglet 3_Distorsion).</t>
  </si>
  <si>
    <t xml:space="preserve">5. NOS CHIFFRES</t>
  </si>
  <si>
    <t xml:space="preserve">Les parametres mesures sur notre exemplaire. Les cellules bleues sont des mesures : elles ne se calculent pas.</t>
  </si>
  <si>
    <t xml:space="preserve">LES DEUX CALIBRATIONS</t>
  </si>
  <si>
    <t xml:space="preserve">Parametre</t>
  </si>
  <si>
    <t xml:space="preserve">Camera nue (hors tube)</t>
  </si>
  <si>
    <t xml:space="preserve">Dans le tube (tube_air)</t>
  </si>
  <si>
    <t xml:space="preserve">Ecart</t>
  </si>
  <si>
    <t xml:space="preserve">Interpretation</t>
  </si>
  <si>
    <t xml:space="preserve">fx  (px)</t>
  </si>
  <si>
    <t xml:space="preserve">focale horizontale — le long de l'axe du tube</t>
  </si>
  <si>
    <t xml:space="preserve">fy  (px)</t>
  </si>
  <si>
    <t xml:space="preserve">focale verticale — circonferentielle, a travers le menisque</t>
  </si>
  <si>
    <t xml:space="preserve">cx  (px)</t>
  </si>
  <si>
    <t xml:space="preserve">point principal, horizontal</t>
  </si>
  <si>
    <t xml:space="preserve">cy  (px)</t>
  </si>
  <si>
    <t xml:space="preserve">point principal, vertical — c'est lui qui bouge le plus</t>
  </si>
  <si>
    <t xml:space="preserve">distorsion radiale, terme en r2</t>
  </si>
  <si>
    <t xml:space="preserve">terme en r4</t>
  </si>
  <si>
    <t xml:space="preserve">terme en r6</t>
  </si>
  <si>
    <t xml:space="preserve">Camera nue : calibration au damier, juillet 2026 (reportee dans optique.py sous K_NUE_AIR). Dans le tube : calibration du 12/08/2026, 31 vues, RMS 0.4445 px (calibration/montages/tube_air.npz).</t>
  </si>
  <si>
    <t xml:space="preserve">CE QUE CES ECARTS DISENT — ET CE QU'ILS NE DISENT PAS</t>
  </si>
  <si>
    <t xml:space="preserve">fy augmente de +5.15 px (+0.9 %) et cy de +15.6 px. On serait tente d'attribuer les deux au tube. Le modele optique du projet ne l'autorise pas : vue de face, une paroi cylindrique est symetrique autour de l'axe optique. Elle modifie la FOCALE (onglet 6_Sous_leau) mais ne DEPLACE PAS le point principal.</t>
  </si>
  <si>
    <t xml:space="preserve">Deux causes plus vraisemblables pour le deplacement de cy, qu'on ne sait pas departager avec les donnees actuelles : (1) la camera est legerement inclinee dans son support imprime, si bien qu'elle ne vise pas exactement perpendiculairement a la paroi ; (2) une part de l'ecart vient simplement de la difference entre deux seances de calibration.</t>
  </si>
  <si>
    <t xml:space="preserve">Indice en faveur de la seconde : fx a BAISSE de 8.4 px (-1.4 %). Or en air, le long de l'axe du tube, la paroi est une lame a faces paralleles — elle ne devie rien et ne devrait rien changer a fx. Cette baisse n'a pas d'explication optique.</t>
  </si>
  <si>
    <t xml:space="preserve">CE QUI RESTE VRAI QUOI QU'IL ARRIVE : on calibre l'objet qu'on utilise. Quelle que soit la cause de l'ecart, la calibration faite dans le tube en tient compte, et celle faite dehors ne le peut pas, par construction.</t>
  </si>
  <si>
    <t xml:space="preserve">VERIFICATION EXPERIMENTALE   (12/08/2026)</t>
  </si>
  <si>
    <t xml:space="preserve">Un AprilTag de 22.3 cm place a 1.000 m, mesure au metre a ruban, camera dans le tube. Trois jeux de parametres appliques a la MEME image :</t>
  </si>
  <si>
    <t xml:space="preserve">Parametres utilises</t>
  </si>
  <si>
    <t xml:space="preserve">Distance rendue (m)</t>
  </si>
  <si>
    <t xml:space="preserve">Ecart (m)</t>
  </si>
  <si>
    <t xml:space="preserve">Aucune calibration (fx = 640 devine)</t>
  </si>
  <si>
    <t xml:space="preserve">Calibration hors tube</t>
  </si>
  <si>
    <t xml:space="preserve">Calibration dans le tube</t>
  </si>
  <si>
    <t xml:space="preserve">C'est la seule preuve DIRECTE de ce classeur : la fonction calibree dans le tube restitue la distance mesuree au metre. Les deux autres lignes sont des illustrations — le metre ne mesure que la portee, il ne peut pas departager un ecart lateral. Script : calibration/demo_distance.py</t>
  </si>
  <si>
    <t xml:space="preserve">6. LA FONCTION SOUS L'EAU</t>
  </si>
  <si>
    <t xml:space="preserve">Le tube sera immerge. La forme de la fonction ne change pas ; ses parametres, si.</t>
  </si>
  <si>
    <t xml:space="preserve">L'IDEE GENERALE</t>
  </si>
  <si>
    <t xml:space="preserve">Immerger le tube ajoute des interfaces : la lumiere passe de l'eau a l'acrylique, puis de l'acrylique a l'air, avant d'atteindre la camera. Chaque changement de milieu devie les rayons — loi de Snell-Descartes. Le monde parait donc GROSSI : c'est l'effet bien connu du masque de plongee.</t>
  </si>
  <si>
    <t xml:space="preserve">n1 . sin(theta1)  =  n2 . sin(theta2)</t>
  </si>
  <si>
    <t xml:space="preserve">LES INDICES EN JEU</t>
  </si>
  <si>
    <t xml:space="preserve">Milieu</t>
  </si>
  <si>
    <t xml:space="preserve">Indice n</t>
  </si>
  <si>
    <t xml:space="preserve">Ou</t>
  </si>
  <si>
    <t xml:space="preserve">Air</t>
  </si>
  <si>
    <t xml:space="preserve">a l'interieur du tube</t>
  </si>
  <si>
    <t xml:space="preserve">Eau</t>
  </si>
  <si>
    <t xml:space="preserve">le bassin</t>
  </si>
  <si>
    <t xml:space="preserve">Acrylique</t>
  </si>
  <si>
    <t xml:space="preserve">la paroi, 4.25 mm d'epaisseur</t>
  </si>
  <si>
    <t xml:space="preserve">LE POINT SUBTIL : LES DEUX AXES NE SUBISSENT PAS LA MEME CHOSE</t>
  </si>
  <si>
    <t xml:space="preserve">La camera est COUCHEE dans le tube et regarde a travers la paroi cylindrique. Or un cylindre n'a pas la meme forme dans ses deux directions :</t>
  </si>
  <si>
    <t xml:space="preserve">AXE HORIZONTAL de l'image (le long du tube) — dans ce plan, la paroi se reduit a deux plans paralleles : un hublot PLAT. En enchainant Snell aux deux interfaces, l'indice de l'acrylique s'elimine et il reste sin(theta_air) = 1.33 x sin(theta_eau). Aux petits angles, cela revient a multiplier la focale par 1.33.</t>
  </si>
  <si>
    <t xml:space="preserve">AXE VERTICAL de l'image (circonferentiel) — la paroi reste COURBE : c'est un menisque. Un rayon parti de l'AXE du tube frappe les deux surfaces perpendiculairement et ne devie pas du tout, quel que soit le milieu exterieur : c'est le principe du hublot en dome. Notre pupille n'est pas exactement sur l'axe (3.15 mm d'ecart), il reste donc un effet — mais bien plus faible que 1.33.</t>
  </si>
  <si>
    <t xml:space="preserve">FOCALES PREVUES SOUS L'EAU</t>
  </si>
  <si>
    <t xml:space="preserve">fx sous l'eau (px)</t>
  </si>
  <si>
    <t xml:space="preserve">fx_air x n_eau — hublot plat</t>
  </si>
  <si>
    <t xml:space="preserve">fy sous l'eau (px)</t>
  </si>
  <si>
    <t xml:space="preserve">fy_air x (grandissement eau / grandissement air) — menisque</t>
  </si>
  <si>
    <t xml:space="preserve">Anamorphose  fx/fy</t>
  </si>
  <si>
    <t xml:space="preserve">1.000 = image normale. Ici les deux axes ne grossissent pas pareil.</t>
  </si>
  <si>
    <t xml:space="preserve">Grandissement du menisque, en air</t>
  </si>
  <si>
    <t xml:space="preserve">Calcules par trace de rayon a travers les deux surfaces cylindriques, pour une pupille situee a 3.15 mm de l'axe du tube. Source : optique.grandissement_section() dans le depot.</t>
  </si>
  <si>
    <t xml:space="preserve">Grandissement du menisque, sous l'eau</t>
  </si>
  <si>
    <t xml:space="preserve">CE QUE CELA CHANGE CONCRETEMENT</t>
  </si>
  <si>
    <t xml:space="preserve">-</t>
  </si>
  <si>
    <t xml:space="preserve">Le champ de vision retrecit</t>
  </si>
  <si>
    <t xml:space="preserve">un hublot plat resserre l'image : on voit moins large sous l'eau qu'en air.</t>
  </si>
  <si>
    <t xml:space="preserve">Les distances changent d'environ 33 %</t>
  </si>
  <si>
    <t xml:space="preserve">garder la calibration d'air sous l'eau fausserait toutes les portees de cet ordre — silencieusement.</t>
  </si>
  <si>
    <t xml:space="preserve">L'image devient anamorphique</t>
  </si>
  <si>
    <t xml:space="preserve">les deux axes ne grossissent pas du meme facteur : on ne peut plus resumer l'optique a un seul nombre.</t>
  </si>
  <si>
    <t xml:space="preserve">La distorsion change aussi</t>
  </si>
  <si>
    <t xml:space="preserve">la relation sin(theta_air) = n.sin(theta_eau) n'est un simple facteur qu'aux petits angles ; l'ecart aux grands angles est exactement de la distorsion radiale supplementaire.</t>
  </si>
  <si>
    <t xml:space="preserve">LA LIMITE DU MODELE — A DIRE AU TUTEUR</t>
  </si>
  <si>
    <t xml:space="preserve">Sous l'eau, le systeme n'est plus rigoureusement un stenope. Une interface refractive rend la camera NON CENTRALE : les rayons ne passent plus tous par un point unique, le centre de projection se deplace selon l'angle du rayon. Le modele K + distorsion n'est donc plus qu'une APPROXIMATION — excellente tant que la paroi est mince et proche de la pupille, ce qui est notre cas.
C'est precisement pour cela qu'on RECALIBRE sous l'eau au lieu de calculer les parametres : on laisse les coefficients de distorsion absorber ce que le modele ne sait pas representer. Les valeurs prevues ci-dessus servent a verifier que la calibration en eau tombe bien la ou on l'attend — elles ne dispensent pas de la faire.</t>
  </si>
  <si>
    <t xml:space="preserve">7. LES COURBES</t>
  </si>
  <si>
    <t xml:space="preserve">La fonction de calibration, tracee. Tout se recalcule a partir des onglets 5 et 6.</t>
  </si>
  <si>
    <t xml:space="preserve">PARAMETRES DU TRACE</t>
  </si>
  <si>
    <t xml:space="preserve">Cote du tag S (m)</t>
  </si>
  <si>
    <t xml:space="preserve">les tags du bassin ; mettre 0.115 pour le petit</t>
  </si>
  <si>
    <t xml:space="preserve">Focale devinee sans calibration (px)</t>
  </si>
  <si>
    <t xml:space="preserve">largeur de l'image : ce qu'on ecrit faute de mieux</t>
  </si>
  <si>
    <t xml:space="preserve">COURBE 1 — DISTANCE SELON LA TAILLE APPARENTE DU TAG</t>
  </si>
  <si>
    <t xml:space="preserve">C'est la fonction de calibration sous la forme la plus utile au projet : d = f . S / s. Elle donne la distance d'un tag dont on mesure le cote apparent en pixels. Trois jeux de parametres sont traces.</t>
  </si>
  <si>
    <t xml:space="preserve">s (px)</t>
  </si>
  <si>
    <t xml:space="preserve">d air (m)</t>
  </si>
  <si>
    <t xml:space="preserve">d eau (m)</t>
  </si>
  <si>
    <t xml:space="preserve">d sans calibration (m)</t>
  </si>
  <si>
    <t xml:space="preserve">COURBE 2 — PROFIL DE LA DISTORSION RADIALE</t>
  </si>
  <si>
    <t xml:space="preserve">De combien de pixels un point est-il deplace par la distorsion, selon sa distance au centre de l'image ?</t>
  </si>
  <si>
    <t xml:space="preserve">r normalise</t>
  </si>
  <si>
    <t xml:space="preserve">facteur radial</t>
  </si>
  <si>
    <t xml:space="preserve">r (px)</t>
  </si>
  <si>
    <t xml:space="preserve">deplacement (px)</t>
  </si>
  <si>
    <t xml:space="preserve">COMMENT LIRE CES COURBES</t>
  </si>
  <si>
    <t xml:space="preserve">COURBE 1 — Les trois courbes ont la meme forme d'hyperbole : la distance est inversement proportionnelle a la taille apparente. Ce qui les separe, c'est uniquement la focale. La courbe SOUS L'EAU est nettement au-dessus : a taille apparente egale, un tag immerge est plus loin qu'en air — d'ou l'obligation de recalibrer en eau. La courbe SANS CALIBRATION montre l'erreur que coute une focale devinee.</t>
  </si>
  <si>
    <t xml:space="preserve">COURBE 2 — Le deplacement est nul au centre et reste sous le pixel jusqu'a environ 180 px. Il culmine a +3.7 px vers 275 px, repasse par zero vers 330 px, puis devient fortement negatif : -34 px a 397 px, la ou le polynome cesse d'etre inversible (onglet 3_Distorsion). Les coins de l'image sont a 415 px du centre. A retenir : la distorsion est negligeable au centre de l'image, dominante sur les bords, et notre modele y est moins sur qu'ailleurs.</t>
  </si>
  <si>
    <t xml:space="preserve">SOURCES</t>
  </si>
  <si>
    <t xml:space="preserve">References theoriques et fichiers du depot.</t>
  </si>
  <si>
    <t xml:space="preserve">ARTICLES ET OUVRAGES DE REFERENCE</t>
  </si>
  <si>
    <t xml:space="preserve">Reference</t>
  </si>
  <si>
    <t xml:space="preserve">Ce qu'on lui doit ici</t>
  </si>
  <si>
    <t xml:space="preserve">[1]</t>
  </si>
  <si>
    <t xml:space="preserve">Z. Zhang, "A Flexible New Technique for Camera Calibration", IEEE Transactions on Pattern Analysis and Machine Intelligence, vol. 22, no. 11, pp. 1330-1334, 2000.</t>
  </si>
  <si>
    <t xml:space="preserve">La methode de calibration par damier plan : homographies, contraintes sur K, initialisation puis raffinement. C'est l'algorithme qu'implemente cv2.calibrateCamera.</t>
  </si>
  <si>
    <t xml:space="preserve">[2]</t>
  </si>
  <si>
    <t xml:space="preserve">D. C. Brown, "Decentering Distortion of Lenses", Photogrammetric Engineering, vol. 32, no. 3, pp. 444-462, 1966.</t>
  </si>
  <si>
    <t xml:space="preserve">Le modele de distorsion radiale et tangentielle, dit Brown-Conrady — "plumb_bob" dans OpenCV et dans ROS.</t>
  </si>
  <si>
    <t xml:space="preserve">[3]</t>
  </si>
  <si>
    <t xml:space="preserve">R. Hartley et A. Zisserman, "Multiple View Geometry in Computer Vision", 2e edition, Cambridge University Press, 2003.</t>
  </si>
  <si>
    <t xml:space="preserve">Le formalisme des coordonnees homogenes, la matrice K, la geometrie projective. Chapitre 6 pour le modele de camera.</t>
  </si>
  <si>
    <t xml:space="preserve">[4]</t>
  </si>
  <si>
    <t xml:space="preserve">Documentation OpenCV, module calib3d : "Camera Calibration and 3D Reconstruction".</t>
  </si>
  <si>
    <t xml:space="preserve">Les conventions exactes du code : ordre des coefficients [k1 k2 p1 p2 k3], definition de l'erreur RMS renvoyee par calibrateCamera.</t>
  </si>
  <si>
    <t xml:space="preserve">[5]</t>
  </si>
  <si>
    <t xml:space="preserve">T. Treibitz, Y. Y. Schechner, H. Singh, "Flat Refractive Geometry", IEEE CVPR, 2008.</t>
  </si>
  <si>
    <t xml:space="preserve">Le fait qu'une camera derriere un hublot plat immerge n'est plus centrale, et pourquoi le modele stenope n'y est qu'une approximation.</t>
  </si>
  <si>
    <t xml:space="preserve">[6]</t>
  </si>
  <si>
    <t xml:space="preserve">A. Agrawal, S. Ramalingam, Y. Taguchi, V. Chari, "A Theory of Multi-Layer Flat Refractive Geometry", IEEE CVPR, 2012.</t>
  </si>
  <si>
    <t xml:space="preserve">La generalisation a plusieurs couches — ici eau / acrylique / air.</t>
  </si>
  <si>
    <t xml:space="preserve">[7]</t>
  </si>
  <si>
    <t xml:space="preserve">E. Olson, "AprilTag: A Robust and Flexible Visual Fiducial System", IEEE ICRA, 2011.</t>
  </si>
  <si>
    <t xml:space="preserve">Le systeme de marqueurs utilise, et la facon dont les coins sont extraits puis affines au sous-pixel.</t>
  </si>
  <si>
    <t xml:space="preserve">FICHIERS DU DEPOT UUV</t>
  </si>
  <si>
    <t xml:space="preserve">Fichier</t>
  </si>
  <si>
    <t xml:space="preserve">Role</t>
  </si>
  <si>
    <t xml:space="preserve">calibration/calibration.py</t>
  </si>
  <si>
    <t xml:space="preserve">Execute la calibration et ecrit les parametres. C'est lui qui a produit les chiffres de l'onglet 5.</t>
  </si>
  <si>
    <t xml:space="preserve">calibration/optique.py</t>
  </si>
  <si>
    <t xml:space="preserve">Les constantes optiques et le trace de rayon a travers la paroi cylindrique. Source des grandissements de l'onglet 6.</t>
  </si>
  <si>
    <t xml:space="preserve">calibration/demo_distance.py</t>
  </si>
  <si>
    <t xml:space="preserve">La verification au metre a ruban citee dans l'onglet 5.</t>
  </si>
  <si>
    <t xml:space="preserve">calibration/verifier_calibration.py</t>
  </si>
  <si>
    <t xml:space="preserve">Controle qu'un montage correspond toujours a sa calibration.</t>
  </si>
  <si>
    <t xml:space="preserve">calibration/montages/tube_air.npz</t>
  </si>
  <si>
    <t xml:space="preserve">Les parametres eux-memes, tels que charges par les scripts.</t>
  </si>
  <si>
    <t xml:space="preserve">calibration/montages/tube_air_ros.yaml</t>
  </si>
  <si>
    <t xml:space="preserve">Les memes, au format ROS, pour le noeud de Josiah.</t>
  </si>
  <si>
    <t xml:space="preserve">MESURES PROPRES AU PROJET</t>
  </si>
  <si>
    <t xml:space="preserve">Mesure</t>
  </si>
  <si>
    <t xml:space="preserve">Detail</t>
  </si>
  <si>
    <t xml:space="preserve">Calibration tube_air</t>
  </si>
  <si>
    <t xml:space="preserve">12/08/2026, 31 vues, RMS 0.4445 px</t>
  </si>
  <si>
    <t xml:space="preserve">Calibration camera nue</t>
  </si>
  <si>
    <t xml:space="preserve">juillet 2026, reportee dans optique.py</t>
  </si>
  <si>
    <t xml:space="preserve">Verification au metre a ruban</t>
  </si>
  <si>
    <t xml:space="preserve">12/08/2026, tag de 22.3 cm a 1.000 m</t>
  </si>
  <si>
    <t xml:space="preserve">Bruit de detection d'un coin</t>
  </si>
  <si>
    <t xml:space="preserve">0.215 px (mesurer_bruit_tag.py, 14 captures)</t>
  </si>
  <si>
    <t xml:space="preserve">Tube</t>
  </si>
  <si>
    <t xml:space="preserve">Blue Robotics BR-100230-151, acrylique coule, DI 49.5 mm, DE 58.0 mm, paroi 4.25 mm</t>
  </si>
  <si>
    <t xml:space="preserve">Decentrement de la pupille</t>
  </si>
  <si>
    <t xml:space="preserve">3.15 mm par rapport a l'axe du tube (deduit de la calibration en air)</t>
  </si>
</sst>
</file>

<file path=xl/styles.xml><?xml version="1.0" encoding="utf-8"?>
<styleSheet xmlns="http://schemas.openxmlformats.org/spreadsheetml/2006/main">
  <numFmts count="8">
    <numFmt numFmtId="164" formatCode="General"/>
    <numFmt numFmtId="165" formatCode="0.00"/>
    <numFmt numFmtId="166" formatCode="0.0000"/>
    <numFmt numFmtId="167" formatCode="0"/>
    <numFmt numFmtId="168" formatCode="0.000"/>
    <numFmt numFmtId="169" formatCode="0.000000"/>
    <numFmt numFmtId="170" formatCode="0.0"/>
    <numFmt numFmtId="171" formatCode="\+0.000;\-0.000;0.000"/>
  </numFmts>
  <fonts count="26">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95959"/>
      <name val="Arial"/>
      <family val="0"/>
      <charset val="1"/>
    </font>
    <font>
      <b val="true"/>
      <sz val="11"/>
      <color rgb="FF1F3864"/>
      <name val="Arial"/>
      <family val="0"/>
      <charset val="1"/>
    </font>
    <font>
      <sz val="10"/>
      <color rgb="FF000000"/>
      <name val="Arial"/>
      <family val="0"/>
      <charset val="1"/>
    </font>
    <font>
      <b val="true"/>
      <sz val="11"/>
      <color rgb="FF1F3864"/>
      <name val="Consolas"/>
      <family val="0"/>
      <charset val="1"/>
    </font>
    <font>
      <b val="true"/>
      <sz val="9"/>
      <color rgb="FF000000"/>
      <name val="Arial"/>
      <family val="0"/>
      <charset val="1"/>
    </font>
    <font>
      <sz val="9"/>
      <color rgb="FF000000"/>
      <name val="Arial"/>
      <family val="0"/>
      <charset val="1"/>
    </font>
    <font>
      <b val="true"/>
      <sz val="9"/>
      <color rgb="FF006100"/>
      <name val="Arial"/>
      <family val="0"/>
      <charset val="1"/>
    </font>
    <font>
      <b val="true"/>
      <sz val="10"/>
      <color rgb="FF0000FF"/>
      <name val="Arial"/>
      <family val="0"/>
      <charset val="1"/>
    </font>
    <font>
      <b val="true"/>
      <sz val="10"/>
      <color rgb="FF000000"/>
      <name val="Arial"/>
      <family val="0"/>
      <charset val="1"/>
    </font>
    <font>
      <b val="true"/>
      <sz val="10"/>
      <color rgb="FF006100"/>
      <name val="Arial"/>
      <family val="0"/>
      <charset val="1"/>
    </font>
    <font>
      <sz val="9"/>
      <color rgb="FF0000FF"/>
      <name val="Arial"/>
      <family val="0"/>
      <charset val="1"/>
    </font>
    <font>
      <i val="true"/>
      <sz val="9"/>
      <color rgb="FF808080"/>
      <name val="Arial"/>
      <family val="0"/>
      <charset val="1"/>
    </font>
    <font>
      <i val="true"/>
      <sz val="10"/>
      <color rgb="FF000000"/>
      <name val="Arial"/>
      <family val="0"/>
      <charset val="1"/>
    </font>
    <font>
      <b val="true"/>
      <sz val="11"/>
      <color rgb="FF000000"/>
      <name val="Arial"/>
      <family val="0"/>
      <charset val="1"/>
    </font>
    <font>
      <sz val="9"/>
      <color rgb="FF006100"/>
      <name val="Arial"/>
      <family val="0"/>
      <charset val="1"/>
    </font>
    <font>
      <b val="true"/>
      <sz val="9"/>
      <color rgb="FF0000FF"/>
      <name val="Arial"/>
      <family val="0"/>
      <charset val="1"/>
    </font>
    <font>
      <sz val="10"/>
      <color rgb="FFC00000"/>
      <name val="Arial"/>
      <family val="0"/>
      <charset val="1"/>
    </font>
    <font>
      <i val="true"/>
      <sz val="9"/>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864"/>
        <bgColor rgb="FF333333"/>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top"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6" fillId="3" borderId="0" xfId="0" applyFont="true" applyBorder="true" applyAlignment="true" applyProtection="false">
      <alignment horizontal="left" vertical="top"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false" indent="0" shrinkToFit="false"/>
      <protection locked="true" hidden="false"/>
    </xf>
    <xf numFmtId="164" fontId="10" fillId="0" borderId="2"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14" fillId="0" borderId="2" xfId="0" applyFont="true" applyBorder="true" applyAlignment="true" applyProtection="false">
      <alignment horizontal="left" vertical="top" textRotation="0" wrapText="false" indent="0" shrinkToFit="false"/>
      <protection locked="true" hidden="false"/>
    </xf>
    <xf numFmtId="165" fontId="14" fillId="0" borderId="2" xfId="0" applyFont="true" applyBorder="true" applyAlignment="true" applyProtection="false">
      <alignment horizontal="left" vertical="top" textRotation="0" wrapText="false" indent="0" shrinkToFit="false"/>
      <protection locked="true" hidden="false"/>
    </xf>
    <xf numFmtId="166" fontId="14" fillId="0" borderId="2" xfId="0" applyFont="true" applyBorder="true" applyAlignment="true" applyProtection="false">
      <alignment horizontal="left" vertical="top" textRotation="0" wrapText="false" indent="0" shrinkToFit="false"/>
      <protection locked="true" hidden="false"/>
    </xf>
    <xf numFmtId="167" fontId="14" fillId="0" borderId="2" xfId="0" applyFont="true" applyBorder="true" applyAlignment="true" applyProtection="false">
      <alignment horizontal="left" vertical="top" textRotation="0" wrapText="false" indent="0" shrinkToFit="false"/>
      <protection locked="true" hidden="false"/>
    </xf>
    <xf numFmtId="167" fontId="15" fillId="0"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7" fontId="9" fillId="0" borderId="1" xfId="0" applyFont="true" applyBorder="tru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8" fontId="15" fillId="0" borderId="1" xfId="0" applyFont="true" applyBorder="true" applyAlignment="true" applyProtection="false">
      <alignment horizontal="left" vertical="top" textRotation="0" wrapText="false" indent="0" shrinkToFit="false"/>
      <protection locked="true" hidden="false"/>
    </xf>
    <xf numFmtId="164" fontId="16" fillId="0" borderId="0" xfId="0" applyFont="true" applyBorder="false" applyAlignment="true" applyProtection="false">
      <alignment horizontal="left" vertical="top" textRotation="0" wrapText="false" indent="0" shrinkToFit="false"/>
      <protection locked="true" hidden="false"/>
    </xf>
    <xf numFmtId="164" fontId="9"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6" fontId="15" fillId="0" borderId="1" xfId="0" applyFont="true" applyBorder="true" applyAlignment="true" applyProtection="false">
      <alignment horizontal="left" vertical="top" textRotation="0" wrapText="false" indent="0" shrinkToFit="false"/>
      <protection locked="true" hidden="false"/>
    </xf>
    <xf numFmtId="166" fontId="10" fillId="0" borderId="1" xfId="0" applyFont="true" applyBorder="true" applyAlignment="true" applyProtection="false">
      <alignment horizontal="left" vertical="top" textRotation="0" wrapText="false" indent="0" shrinkToFit="false"/>
      <protection locked="true" hidden="false"/>
    </xf>
    <xf numFmtId="169" fontId="10" fillId="0" borderId="1" xfId="0" applyFont="true" applyBorder="true" applyAlignment="true" applyProtection="false">
      <alignment horizontal="left" vertical="top" textRotation="0" wrapText="fals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5" fontId="18" fillId="4" borderId="1" xfId="0" applyFont="true" applyBorder="true" applyAlignment="true" applyProtection="false">
      <alignment horizontal="left" vertical="top" textRotation="0" wrapText="false" indent="0" shrinkToFit="false"/>
      <protection locked="true" hidden="false"/>
    </xf>
    <xf numFmtId="170" fontId="15" fillId="0" borderId="1" xfId="0" applyFont="true" applyBorder="true" applyAlignment="true" applyProtection="false">
      <alignment horizontal="left" vertical="top" textRotation="0" wrapText="false" indent="0" shrinkToFit="false"/>
      <protection locked="true" hidden="false"/>
    </xf>
    <xf numFmtId="168" fontId="18" fillId="4" borderId="1" xfId="0" applyFont="true" applyBorder="true" applyAlignment="true" applyProtection="false">
      <alignment horizontal="left" vertical="top" textRotation="0" wrapText="false" indent="0" shrinkToFit="false"/>
      <protection locked="true" hidden="false"/>
    </xf>
    <xf numFmtId="169" fontId="19" fillId="0" borderId="1" xfId="0" applyFont="true" applyBorder="true" applyAlignment="true" applyProtection="false">
      <alignment horizontal="left" vertical="top" textRotation="0" wrapText="false" indent="0" shrinkToFit="false"/>
      <protection locked="true" hidden="false"/>
    </xf>
    <xf numFmtId="166" fontId="20" fillId="0" borderId="1" xfId="0" applyFont="true" applyBorder="true" applyAlignment="true" applyProtection="false">
      <alignment horizontal="left" vertical="top" textRotation="0" wrapText="false" indent="0" shrinkToFit="false"/>
      <protection locked="true" hidden="false"/>
    </xf>
    <xf numFmtId="164" fontId="10" fillId="4" borderId="2" xfId="0" applyFont="tru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7" fontId="10" fillId="0" borderId="1" xfId="0" applyFont="true" applyBorder="true" applyAlignment="true" applyProtection="false">
      <alignment horizontal="left" vertical="top" textRotation="0" wrapText="false" indent="0" shrinkToFit="false"/>
      <protection locked="true" hidden="false"/>
    </xf>
    <xf numFmtId="170" fontId="10" fillId="0" borderId="1" xfId="0" applyFont="true" applyBorder="true" applyAlignment="true" applyProtection="false">
      <alignment horizontal="left" vertical="top" textRotation="0" wrapText="false" indent="0" shrinkToFit="false"/>
      <protection locked="true" hidden="false"/>
    </xf>
    <xf numFmtId="166" fontId="12" fillId="4"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9" fontId="15" fillId="0" borderId="1" xfId="0" applyFont="true" applyBorder="true" applyAlignment="true" applyProtection="false">
      <alignment horizontal="left" vertical="top" textRotation="0" wrapText="false" indent="0" shrinkToFit="false"/>
      <protection locked="true" hidden="false"/>
    </xf>
    <xf numFmtId="164" fontId="22" fillId="0" borderId="0" xfId="0" applyFont="true" applyBorder="true" applyAlignment="true" applyProtection="false">
      <alignment horizontal="left" vertical="top" textRotation="0" wrapText="true" indent="0" shrinkToFit="false"/>
      <protection locked="true" hidden="false"/>
    </xf>
    <xf numFmtId="171" fontId="10" fillId="0" borderId="1" xfId="0" applyFont="true" applyBorder="true" applyAlignment="true" applyProtection="false">
      <alignment horizontal="left" vertical="top" textRotation="0" wrapText="false" indent="0" shrinkToFit="false"/>
      <protection locked="true" hidden="false"/>
    </xf>
    <xf numFmtId="165" fontId="15" fillId="0" borderId="1" xfId="0" applyFont="true" applyBorder="true" applyAlignment="true" applyProtection="false">
      <alignment horizontal="left" vertical="top" textRotation="0" wrapText="false" indent="0" shrinkToFit="false"/>
      <protection locked="true" hidden="false"/>
    </xf>
    <xf numFmtId="164" fontId="10" fillId="0" borderId="2" xfId="0" applyFont="true" applyBorder="true" applyAlignment="true" applyProtection="false">
      <alignment horizontal="left" vertical="top" textRotation="0" wrapText="false" indent="0" shrinkToFit="false"/>
      <protection locked="true" hidden="false"/>
    </xf>
    <xf numFmtId="165" fontId="13" fillId="4" borderId="1" xfId="0" applyFont="true" applyBorder="true" applyAlignment="true" applyProtection="false">
      <alignment horizontal="left" vertical="top" textRotation="0" wrapText="false" indent="0" shrinkToFit="false"/>
      <protection locked="true" hidden="false"/>
    </xf>
    <xf numFmtId="168" fontId="13" fillId="4" borderId="1" xfId="0" applyFont="true" applyBorder="true" applyAlignment="true" applyProtection="false">
      <alignment horizontal="left" vertical="top" textRotation="0" wrapText="false" indent="0" shrinkToFit="false"/>
      <protection locked="true" hidden="false"/>
    </xf>
    <xf numFmtId="164" fontId="22" fillId="0" borderId="3"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0" fillId="4" borderId="3" xfId="0" applyFont="true" applyBorder="true" applyAlignment="true" applyProtection="false">
      <alignment horizontal="left" vertical="top" textRotation="0" wrapText="true" indent="0" shrinkToFit="false"/>
      <protection locked="true" hidden="false"/>
    </xf>
    <xf numFmtId="168" fontId="10" fillId="0" borderId="1" xfId="0" applyFont="true" applyBorder="true" applyAlignment="true" applyProtection="false">
      <alignment horizontal="left" vertical="top" textRotation="0" wrapText="false" indent="0" shrinkToFit="false"/>
      <protection locked="true" hidden="false"/>
    </xf>
    <xf numFmtId="165" fontId="10"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BE4B48"/>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CFFCC"/>
      <rgbColor rgb="FFFFFF99"/>
      <rgbColor rgb="FF99CCFF"/>
      <rgbColor rgb="FFFF99CC"/>
      <rgbColor rgb="FFCC99FF"/>
      <rgbColor rgb="FFFFCC99"/>
      <rgbColor rgb="FF4A7EBB"/>
      <rgbColor rgb="FF33CCCC"/>
      <rgbColor rgb="FF98B855"/>
      <rgbColor rgb="FFFFCC00"/>
      <rgbColor rgb="FFFF9900"/>
      <rgbColor rgb="FFFF6600"/>
      <rgbColor rgb="FF59595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Distance mesuree selon le cote apparent du tag</a:t>
            </a:r>
          </a:p>
        </c:rich>
      </c:tx>
      <c:overlay val="0"/>
      <c:spPr>
        <a:noFill/>
        <a:ln w="0">
          <a:noFill/>
        </a:ln>
      </c:spPr>
    </c:title>
    <c:autoTitleDeleted val="0"/>
    <c:plotArea>
      <c:scatterChart>
        <c:scatterStyle val="line"/>
        <c:varyColors val="0"/>
        <c:ser>
          <c:idx val="0"/>
          <c:order val="0"/>
          <c:tx>
            <c:strRef>
              <c:f>7_Courbes!B11</c:f>
              <c:strCache>
                <c:ptCount val="1"/>
                <c:pt idx="0">
                  <c:v>d air (m)</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7_Courbes!$A$12:$A$40</c:f>
              <c:numCache>
                <c:formatCode>0</c:formatCode>
                <c:ptCount val="29"/>
                <c:pt idx="0">
                  <c:v>20</c:v>
                </c:pt>
                <c:pt idx="1">
                  <c:v>30</c:v>
                </c:pt>
                <c:pt idx="2">
                  <c:v>40</c:v>
                </c:pt>
                <c:pt idx="3">
                  <c:v>50</c:v>
                </c:pt>
                <c:pt idx="4">
                  <c:v>60</c:v>
                </c:pt>
                <c:pt idx="5">
                  <c:v>70</c:v>
                </c:pt>
                <c:pt idx="6">
                  <c:v>80</c:v>
                </c:pt>
                <c:pt idx="7">
                  <c:v>90</c:v>
                </c:pt>
                <c:pt idx="8">
                  <c:v>100</c:v>
                </c:pt>
                <c:pt idx="9">
                  <c:v>110</c:v>
                </c:pt>
                <c:pt idx="10">
                  <c:v>120</c:v>
                </c:pt>
                <c:pt idx="11">
                  <c:v>130</c:v>
                </c:pt>
                <c:pt idx="12">
                  <c:v>140</c:v>
                </c:pt>
                <c:pt idx="13">
                  <c:v>150</c:v>
                </c:pt>
                <c:pt idx="14">
                  <c:v>160</c:v>
                </c:pt>
                <c:pt idx="15">
                  <c:v>170</c:v>
                </c:pt>
                <c:pt idx="16">
                  <c:v>180</c:v>
                </c:pt>
                <c:pt idx="17">
                  <c:v>190</c:v>
                </c:pt>
                <c:pt idx="18">
                  <c:v>200</c:v>
                </c:pt>
                <c:pt idx="19">
                  <c:v>210</c:v>
                </c:pt>
                <c:pt idx="20">
                  <c:v>220</c:v>
                </c:pt>
                <c:pt idx="21">
                  <c:v>230</c:v>
                </c:pt>
                <c:pt idx="22">
                  <c:v>240</c:v>
                </c:pt>
                <c:pt idx="23">
                  <c:v>250</c:v>
                </c:pt>
                <c:pt idx="24">
                  <c:v>260</c:v>
                </c:pt>
                <c:pt idx="25">
                  <c:v>270</c:v>
                </c:pt>
                <c:pt idx="26">
                  <c:v>280</c:v>
                </c:pt>
                <c:pt idx="27">
                  <c:v>290</c:v>
                </c:pt>
                <c:pt idx="28">
                  <c:v>300</c:v>
                </c:pt>
              </c:numCache>
            </c:numRef>
          </c:xVal>
          <c:yVal>
            <c:numRef>
              <c:f>7_Courbes!$B$12:$B$40</c:f>
              <c:numCache>
                <c:formatCode>0.000</c:formatCode>
                <c:ptCount val="29"/>
                <c:pt idx="0">
                  <c:v>6.643048465</c:v>
                </c:pt>
                <c:pt idx="1">
                  <c:v>4.42869897666667</c:v>
                </c:pt>
                <c:pt idx="2">
                  <c:v>3.3215242325</c:v>
                </c:pt>
                <c:pt idx="3">
                  <c:v>2.657219386</c:v>
                </c:pt>
                <c:pt idx="4">
                  <c:v>2.21434948833333</c:v>
                </c:pt>
                <c:pt idx="5">
                  <c:v>1.89801384714286</c:v>
                </c:pt>
                <c:pt idx="6">
                  <c:v>1.66076211625</c:v>
                </c:pt>
                <c:pt idx="7">
                  <c:v>1.47623299222222</c:v>
                </c:pt>
                <c:pt idx="8">
                  <c:v>1.328609693</c:v>
                </c:pt>
                <c:pt idx="9">
                  <c:v>1.20782699363636</c:v>
                </c:pt>
                <c:pt idx="10">
                  <c:v>1.10717474416667</c:v>
                </c:pt>
                <c:pt idx="11">
                  <c:v>1.02200745615385</c:v>
                </c:pt>
                <c:pt idx="12">
                  <c:v>0.949006923571429</c:v>
                </c:pt>
                <c:pt idx="13">
                  <c:v>0.885739795333333</c:v>
                </c:pt>
                <c:pt idx="14">
                  <c:v>0.830381058125</c:v>
                </c:pt>
                <c:pt idx="15">
                  <c:v>0.781535113529412</c:v>
                </c:pt>
                <c:pt idx="16">
                  <c:v>0.738116496111111</c:v>
                </c:pt>
                <c:pt idx="17">
                  <c:v>0.699268259473684</c:v>
                </c:pt>
                <c:pt idx="18">
                  <c:v>0.6643048465</c:v>
                </c:pt>
                <c:pt idx="19">
                  <c:v>0.632671282380952</c:v>
                </c:pt>
                <c:pt idx="20">
                  <c:v>0.603913496818182</c:v>
                </c:pt>
                <c:pt idx="21">
                  <c:v>0.57765638826087</c:v>
                </c:pt>
                <c:pt idx="22">
                  <c:v>0.553587372083333</c:v>
                </c:pt>
                <c:pt idx="23">
                  <c:v>0.5314438772</c:v>
                </c:pt>
                <c:pt idx="24">
                  <c:v>0.511003728076923</c:v>
                </c:pt>
                <c:pt idx="25">
                  <c:v>0.492077664074074</c:v>
                </c:pt>
                <c:pt idx="26">
                  <c:v>0.474503461785714</c:v>
                </c:pt>
                <c:pt idx="27">
                  <c:v>0.458141273448276</c:v>
                </c:pt>
                <c:pt idx="28">
                  <c:v>0.442869897666667</c:v>
                </c:pt>
              </c:numCache>
            </c:numRef>
          </c:yVal>
          <c:smooth val="1"/>
        </c:ser>
        <c:ser>
          <c:idx val="1"/>
          <c:order val="1"/>
          <c:tx>
            <c:strRef>
              <c:f>7_Courbes!C11</c:f>
              <c:strCache>
                <c:ptCount val="1"/>
                <c:pt idx="0">
                  <c:v>d eau (m)</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7_Courbes!$A$12:$A$40</c:f>
              <c:numCache>
                <c:formatCode>0</c:formatCode>
                <c:ptCount val="29"/>
                <c:pt idx="0">
                  <c:v>20</c:v>
                </c:pt>
                <c:pt idx="1">
                  <c:v>30</c:v>
                </c:pt>
                <c:pt idx="2">
                  <c:v>40</c:v>
                </c:pt>
                <c:pt idx="3">
                  <c:v>50</c:v>
                </c:pt>
                <c:pt idx="4">
                  <c:v>60</c:v>
                </c:pt>
                <c:pt idx="5">
                  <c:v>70</c:v>
                </c:pt>
                <c:pt idx="6">
                  <c:v>80</c:v>
                </c:pt>
                <c:pt idx="7">
                  <c:v>90</c:v>
                </c:pt>
                <c:pt idx="8">
                  <c:v>100</c:v>
                </c:pt>
                <c:pt idx="9">
                  <c:v>110</c:v>
                </c:pt>
                <c:pt idx="10">
                  <c:v>120</c:v>
                </c:pt>
                <c:pt idx="11">
                  <c:v>130</c:v>
                </c:pt>
                <c:pt idx="12">
                  <c:v>140</c:v>
                </c:pt>
                <c:pt idx="13">
                  <c:v>150</c:v>
                </c:pt>
                <c:pt idx="14">
                  <c:v>160</c:v>
                </c:pt>
                <c:pt idx="15">
                  <c:v>170</c:v>
                </c:pt>
                <c:pt idx="16">
                  <c:v>180</c:v>
                </c:pt>
                <c:pt idx="17">
                  <c:v>190</c:v>
                </c:pt>
                <c:pt idx="18">
                  <c:v>200</c:v>
                </c:pt>
                <c:pt idx="19">
                  <c:v>210</c:v>
                </c:pt>
                <c:pt idx="20">
                  <c:v>220</c:v>
                </c:pt>
                <c:pt idx="21">
                  <c:v>230</c:v>
                </c:pt>
                <c:pt idx="22">
                  <c:v>240</c:v>
                </c:pt>
                <c:pt idx="23">
                  <c:v>250</c:v>
                </c:pt>
                <c:pt idx="24">
                  <c:v>260</c:v>
                </c:pt>
                <c:pt idx="25">
                  <c:v>270</c:v>
                </c:pt>
                <c:pt idx="26">
                  <c:v>280</c:v>
                </c:pt>
                <c:pt idx="27">
                  <c:v>290</c:v>
                </c:pt>
                <c:pt idx="28">
                  <c:v>300</c:v>
                </c:pt>
              </c:numCache>
            </c:numRef>
          </c:xVal>
          <c:yVal>
            <c:numRef>
              <c:f>7_Courbes!$C$12:$C$40</c:f>
              <c:numCache>
                <c:formatCode>0.000</c:formatCode>
                <c:ptCount val="29"/>
                <c:pt idx="0">
                  <c:v>8.83525445845</c:v>
                </c:pt>
                <c:pt idx="1">
                  <c:v>5.89016963896667</c:v>
                </c:pt>
                <c:pt idx="2">
                  <c:v>4.417627229225</c:v>
                </c:pt>
                <c:pt idx="3">
                  <c:v>3.53410178338</c:v>
                </c:pt>
                <c:pt idx="4">
                  <c:v>2.94508481948333</c:v>
                </c:pt>
                <c:pt idx="5">
                  <c:v>2.5243584167</c:v>
                </c:pt>
                <c:pt idx="6">
                  <c:v>2.2088136146125</c:v>
                </c:pt>
                <c:pt idx="7">
                  <c:v>1.96338987965556</c:v>
                </c:pt>
                <c:pt idx="8">
                  <c:v>1.76705089169</c:v>
                </c:pt>
                <c:pt idx="9">
                  <c:v>1.60640990153636</c:v>
                </c:pt>
                <c:pt idx="10">
                  <c:v>1.47254240974167</c:v>
                </c:pt>
                <c:pt idx="11">
                  <c:v>1.35926991668462</c:v>
                </c:pt>
                <c:pt idx="12">
                  <c:v>1.26217920835</c:v>
                </c:pt>
                <c:pt idx="13">
                  <c:v>1.17803392779333</c:v>
                </c:pt>
                <c:pt idx="14">
                  <c:v>1.10440680730625</c:v>
                </c:pt>
                <c:pt idx="15">
                  <c:v>1.03944170099412</c:v>
                </c:pt>
                <c:pt idx="16">
                  <c:v>0.981694939827778</c:v>
                </c:pt>
                <c:pt idx="17">
                  <c:v>0.9300267851</c:v>
                </c:pt>
                <c:pt idx="18">
                  <c:v>0.883525445845</c:v>
                </c:pt>
                <c:pt idx="19">
                  <c:v>0.841452805566667</c:v>
                </c:pt>
                <c:pt idx="20">
                  <c:v>0.803204950768182</c:v>
                </c:pt>
                <c:pt idx="21">
                  <c:v>0.768282996386957</c:v>
                </c:pt>
                <c:pt idx="22">
                  <c:v>0.736271204870833</c:v>
                </c:pt>
                <c:pt idx="23">
                  <c:v>0.706820356676</c:v>
                </c:pt>
                <c:pt idx="24">
                  <c:v>0.679634958342308</c:v>
                </c:pt>
                <c:pt idx="25">
                  <c:v>0.654463293218519</c:v>
                </c:pt>
                <c:pt idx="26">
                  <c:v>0.631089604175</c:v>
                </c:pt>
                <c:pt idx="27">
                  <c:v>0.609327893686207</c:v>
                </c:pt>
                <c:pt idx="28">
                  <c:v>0.589016963896667</c:v>
                </c:pt>
              </c:numCache>
            </c:numRef>
          </c:yVal>
          <c:smooth val="1"/>
        </c:ser>
        <c:ser>
          <c:idx val="2"/>
          <c:order val="2"/>
          <c:tx>
            <c:strRef>
              <c:f>7_Courbes!D11</c:f>
              <c:strCache>
                <c:ptCount val="1"/>
                <c:pt idx="0">
                  <c:v>d sans calibration (m)</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7_Courbes!$A$12:$A$40</c:f>
              <c:numCache>
                <c:formatCode>0</c:formatCode>
                <c:ptCount val="29"/>
                <c:pt idx="0">
                  <c:v>20</c:v>
                </c:pt>
                <c:pt idx="1">
                  <c:v>30</c:v>
                </c:pt>
                <c:pt idx="2">
                  <c:v>40</c:v>
                </c:pt>
                <c:pt idx="3">
                  <c:v>50</c:v>
                </c:pt>
                <c:pt idx="4">
                  <c:v>60</c:v>
                </c:pt>
                <c:pt idx="5">
                  <c:v>70</c:v>
                </c:pt>
                <c:pt idx="6">
                  <c:v>80</c:v>
                </c:pt>
                <c:pt idx="7">
                  <c:v>90</c:v>
                </c:pt>
                <c:pt idx="8">
                  <c:v>100</c:v>
                </c:pt>
                <c:pt idx="9">
                  <c:v>110</c:v>
                </c:pt>
                <c:pt idx="10">
                  <c:v>120</c:v>
                </c:pt>
                <c:pt idx="11">
                  <c:v>130</c:v>
                </c:pt>
                <c:pt idx="12">
                  <c:v>140</c:v>
                </c:pt>
                <c:pt idx="13">
                  <c:v>150</c:v>
                </c:pt>
                <c:pt idx="14">
                  <c:v>160</c:v>
                </c:pt>
                <c:pt idx="15">
                  <c:v>170</c:v>
                </c:pt>
                <c:pt idx="16">
                  <c:v>180</c:v>
                </c:pt>
                <c:pt idx="17">
                  <c:v>190</c:v>
                </c:pt>
                <c:pt idx="18">
                  <c:v>200</c:v>
                </c:pt>
                <c:pt idx="19">
                  <c:v>210</c:v>
                </c:pt>
                <c:pt idx="20">
                  <c:v>220</c:v>
                </c:pt>
                <c:pt idx="21">
                  <c:v>230</c:v>
                </c:pt>
                <c:pt idx="22">
                  <c:v>240</c:v>
                </c:pt>
                <c:pt idx="23">
                  <c:v>250</c:v>
                </c:pt>
                <c:pt idx="24">
                  <c:v>260</c:v>
                </c:pt>
                <c:pt idx="25">
                  <c:v>270</c:v>
                </c:pt>
                <c:pt idx="26">
                  <c:v>280</c:v>
                </c:pt>
                <c:pt idx="27">
                  <c:v>290</c:v>
                </c:pt>
                <c:pt idx="28">
                  <c:v>300</c:v>
                </c:pt>
              </c:numCache>
            </c:numRef>
          </c:xVal>
          <c:yVal>
            <c:numRef>
              <c:f>7_Courbes!$D$12:$D$40</c:f>
              <c:numCache>
                <c:formatCode>0.000</c:formatCode>
                <c:ptCount val="29"/>
                <c:pt idx="0">
                  <c:v>7.136</c:v>
                </c:pt>
                <c:pt idx="1">
                  <c:v>4.75733333333333</c:v>
                </c:pt>
                <c:pt idx="2">
                  <c:v>3.568</c:v>
                </c:pt>
                <c:pt idx="3">
                  <c:v>2.8544</c:v>
                </c:pt>
                <c:pt idx="4">
                  <c:v>2.37866666666667</c:v>
                </c:pt>
                <c:pt idx="5">
                  <c:v>2.03885714285714</c:v>
                </c:pt>
                <c:pt idx="6">
                  <c:v>1.784</c:v>
                </c:pt>
                <c:pt idx="7">
                  <c:v>1.58577777777778</c:v>
                </c:pt>
                <c:pt idx="8">
                  <c:v>1.4272</c:v>
                </c:pt>
                <c:pt idx="9">
                  <c:v>1.29745454545455</c:v>
                </c:pt>
                <c:pt idx="10">
                  <c:v>1.18933333333333</c:v>
                </c:pt>
                <c:pt idx="11">
                  <c:v>1.09784615384615</c:v>
                </c:pt>
                <c:pt idx="12">
                  <c:v>1.01942857142857</c:v>
                </c:pt>
                <c:pt idx="13">
                  <c:v>0.951466666666667</c:v>
                </c:pt>
                <c:pt idx="14">
                  <c:v>0.892</c:v>
                </c:pt>
                <c:pt idx="15">
                  <c:v>0.839529411764706</c:v>
                </c:pt>
                <c:pt idx="16">
                  <c:v>0.792888888888889</c:v>
                </c:pt>
                <c:pt idx="17">
                  <c:v>0.751157894736842</c:v>
                </c:pt>
                <c:pt idx="18">
                  <c:v>0.7136</c:v>
                </c:pt>
                <c:pt idx="19">
                  <c:v>0.679619047619048</c:v>
                </c:pt>
                <c:pt idx="20">
                  <c:v>0.648727272727273</c:v>
                </c:pt>
                <c:pt idx="21">
                  <c:v>0.620521739130435</c:v>
                </c:pt>
                <c:pt idx="22">
                  <c:v>0.594666666666667</c:v>
                </c:pt>
                <c:pt idx="23">
                  <c:v>0.57088</c:v>
                </c:pt>
                <c:pt idx="24">
                  <c:v>0.548923076923077</c:v>
                </c:pt>
                <c:pt idx="25">
                  <c:v>0.528592592592593</c:v>
                </c:pt>
                <c:pt idx="26">
                  <c:v>0.509714285714286</c:v>
                </c:pt>
                <c:pt idx="27">
                  <c:v>0.492137931034483</c:v>
                </c:pt>
                <c:pt idx="28">
                  <c:v>0.475733333333333</c:v>
                </c:pt>
              </c:numCache>
            </c:numRef>
          </c:yVal>
          <c:smooth val="1"/>
        </c:ser>
        <c:axId val="81039468"/>
        <c:axId val="51382766"/>
      </c:scatterChart>
      <c:valAx>
        <c:axId val="81039468"/>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Cote apparent du tag (pixels)</a:t>
                </a:r>
              </a:p>
            </c:rich>
          </c:tx>
          <c:overlay val="0"/>
          <c:spPr>
            <a:noFill/>
            <a:ln w="0">
              <a:noFill/>
            </a:ln>
          </c:spPr>
        </c:title>
        <c:numFmt formatCode="0"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1382766"/>
        <c:crosses val="autoZero"/>
        <c:crossBetween val="midCat"/>
      </c:valAx>
      <c:valAx>
        <c:axId val="513827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Distance (metres)</a:t>
                </a:r>
              </a:p>
            </c:rich>
          </c:tx>
          <c:overlay val="0"/>
          <c:spPr>
            <a:noFill/>
            <a:ln w="0">
              <a:noFill/>
            </a:ln>
          </c:spPr>
        </c:title>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03946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Profil de distorsion radiale (montage tube_air)</a:t>
            </a:r>
          </a:p>
        </c:rich>
      </c:tx>
      <c:overlay val="0"/>
      <c:spPr>
        <a:noFill/>
        <a:ln w="0">
          <a:noFill/>
        </a:ln>
      </c:spPr>
    </c:title>
    <c:autoTitleDeleted val="0"/>
    <c:plotArea>
      <c:scatterChart>
        <c:scatterStyle val="line"/>
        <c:varyColors val="0"/>
        <c:ser>
          <c:idx val="0"/>
          <c:order val="0"/>
          <c:tx>
            <c:strRef>
              <c:f>7_Courbes!D43</c:f>
              <c:strCache>
                <c:ptCount val="1"/>
                <c:pt idx="0">
                  <c:v>deplacement (px)</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7_Courbes!$C$44:$C$79</c:f>
              <c:numCache>
                <c:formatCode>0.0</c:formatCode>
                <c:ptCount val="36"/>
                <c:pt idx="0">
                  <c:v>0</c:v>
                </c:pt>
                <c:pt idx="1">
                  <c:v>12.033101</c:v>
                </c:pt>
                <c:pt idx="2">
                  <c:v>24.066202</c:v>
                </c:pt>
                <c:pt idx="3">
                  <c:v>36.099303</c:v>
                </c:pt>
                <c:pt idx="4">
                  <c:v>48.132404</c:v>
                </c:pt>
                <c:pt idx="5">
                  <c:v>60.165505</c:v>
                </c:pt>
                <c:pt idx="6">
                  <c:v>72.198606</c:v>
                </c:pt>
                <c:pt idx="7">
                  <c:v>84.231707</c:v>
                </c:pt>
                <c:pt idx="8">
                  <c:v>96.264808</c:v>
                </c:pt>
                <c:pt idx="9">
                  <c:v>108.297909</c:v>
                </c:pt>
                <c:pt idx="10">
                  <c:v>120.33101</c:v>
                </c:pt>
                <c:pt idx="11">
                  <c:v>132.364111</c:v>
                </c:pt>
                <c:pt idx="12">
                  <c:v>144.397212</c:v>
                </c:pt>
                <c:pt idx="13">
                  <c:v>156.430313</c:v>
                </c:pt>
                <c:pt idx="14">
                  <c:v>168.463414</c:v>
                </c:pt>
                <c:pt idx="15">
                  <c:v>180.496515</c:v>
                </c:pt>
                <c:pt idx="16">
                  <c:v>192.529616</c:v>
                </c:pt>
                <c:pt idx="17">
                  <c:v>204.562717</c:v>
                </c:pt>
                <c:pt idx="18">
                  <c:v>216.595818</c:v>
                </c:pt>
                <c:pt idx="19">
                  <c:v>228.628919</c:v>
                </c:pt>
                <c:pt idx="20">
                  <c:v>240.66202</c:v>
                </c:pt>
                <c:pt idx="21">
                  <c:v>252.695121</c:v>
                </c:pt>
                <c:pt idx="22">
                  <c:v>264.728222</c:v>
                </c:pt>
                <c:pt idx="23">
                  <c:v>276.761323</c:v>
                </c:pt>
                <c:pt idx="24">
                  <c:v>288.794424</c:v>
                </c:pt>
                <c:pt idx="25">
                  <c:v>300.827525</c:v>
                </c:pt>
                <c:pt idx="26">
                  <c:v>312.860626</c:v>
                </c:pt>
                <c:pt idx="27">
                  <c:v>324.893727</c:v>
                </c:pt>
                <c:pt idx="28">
                  <c:v>336.926828</c:v>
                </c:pt>
                <c:pt idx="29">
                  <c:v>348.959929</c:v>
                </c:pt>
                <c:pt idx="30">
                  <c:v>360.99303</c:v>
                </c:pt>
                <c:pt idx="31">
                  <c:v>373.026131</c:v>
                </c:pt>
                <c:pt idx="32">
                  <c:v>385.059232</c:v>
                </c:pt>
                <c:pt idx="33">
                  <c:v>397.092333</c:v>
                </c:pt>
                <c:pt idx="34">
                  <c:v>409.125434</c:v>
                </c:pt>
                <c:pt idx="35">
                  <c:v>421.158535</c:v>
                </c:pt>
              </c:numCache>
            </c:numRef>
          </c:xVal>
          <c:yVal>
            <c:numRef>
              <c:f>7_Courbes!$D$44:$D$79</c:f>
              <c:numCache>
                <c:formatCode>0.00</c:formatCode>
                <c:ptCount val="36"/>
                <c:pt idx="0">
                  <c:v>0</c:v>
                </c:pt>
                <c:pt idx="1">
                  <c:v>-2.03244468472216E-005</c:v>
                </c:pt>
                <c:pt idx="2">
                  <c:v>-0.000114517931671883</c:v>
                </c:pt>
                <c:pt idx="3">
                  <c:v>-0.000118914291807518</c:v>
                </c:pt>
                <c:pt idx="4">
                  <c:v>0.000591908967651107</c:v>
                </c:pt>
                <c:pt idx="5">
                  <c:v>0.00330272366716305</c:v>
                </c:pt>
                <c:pt idx="6">
                  <c:v>0.0101153017387488</c:v>
                </c:pt>
                <c:pt idx="7">
                  <c:v>0.0240528097356268</c:v>
                </c:pt>
                <c:pt idx="8">
                  <c:v>0.0490976329962327</c:v>
                </c:pt>
                <c:pt idx="9">
                  <c:v>0.0901493153936412</c:v>
                </c:pt>
                <c:pt idx="10">
                  <c:v>0.152889300601351</c:v>
                </c:pt>
                <c:pt idx="11">
                  <c:v>0.243539160805903</c:v>
                </c:pt>
                <c:pt idx="12">
                  <c:v>0.368498998797964</c:v>
                </c:pt>
                <c:pt idx="13">
                  <c:v>0.533852709371932</c:v>
                </c:pt>
                <c:pt idx="14">
                  <c:v>0.744726785965766</c:v>
                </c:pt>
                <c:pt idx="15">
                  <c:v>1.00448935847111</c:v>
                </c:pt>
                <c:pt idx="16">
                  <c:v>1.31377614814544</c:v>
                </c:pt>
                <c:pt idx="17">
                  <c:v>1.66933002555642</c:v>
                </c:pt>
                <c:pt idx="18">
                  <c:v>2.06264085748978</c:v>
                </c:pt>
                <c:pt idx="19">
                  <c:v>2.47837232875157</c:v>
                </c:pt>
                <c:pt idx="20">
                  <c:v>2.89256242479545</c:v>
                </c:pt>
                <c:pt idx="21">
                  <c:v>3.27058426110605</c:v>
                </c:pt>
                <c:pt idx="22">
                  <c:v>3.56485394526958</c:v>
                </c:pt>
                <c:pt idx="23">
                  <c:v>3.71227215766194</c:v>
                </c:pt>
                <c:pt idx="24">
                  <c:v>3.63138613668557</c:v>
                </c:pt>
                <c:pt idx="25">
                  <c:v>3.21925875448668</c:v>
                </c:pt>
                <c:pt idx="26">
                  <c:v>2.3480313690821</c:v>
                </c:pt>
                <c:pt idx="27">
                  <c:v>0.861167138827975</c:v>
                </c:pt>
                <c:pt idx="28">
                  <c:v>-1.43063851483912</c:v>
                </c:pt>
                <c:pt idx="29">
                  <c:v>-4.75389361045801</c:v>
                </c:pt>
                <c:pt idx="30">
                  <c:v>-9.37710478946441</c:v>
                </c:pt>
                <c:pt idx="31">
                  <c:v>-15.6159452930478</c:v>
                </c:pt>
                <c:pt idx="32">
                  <c:v>-23.8388090470117</c:v>
                </c:pt>
                <c:pt idx="33">
                  <c:v>-34.4727641687082</c:v>
                </c:pt>
                <c:pt idx="34">
                  <c:v>-48.0099192101134</c:v>
                </c:pt>
                <c:pt idx="35">
                  <c:v>-65.0142154511159</c:v>
                </c:pt>
              </c:numCache>
            </c:numRef>
          </c:yVal>
          <c:smooth val="1"/>
        </c:ser>
        <c:axId val="19543649"/>
        <c:axId val="23852596"/>
      </c:scatterChart>
      <c:valAx>
        <c:axId val="19543649"/>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Distance au centre optique (pixels)</a:t>
                </a:r>
              </a:p>
            </c:rich>
          </c:tx>
          <c:overlay val="0"/>
          <c:spPr>
            <a:noFill/>
            <a:ln w="0">
              <a:noFill/>
            </a:ln>
          </c:spPr>
        </c:title>
        <c:numFmt formatCode="0.0"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3852596"/>
        <c:crosses val="autoZero"/>
        <c:crossBetween val="midCat"/>
      </c:valAx>
      <c:valAx>
        <c:axId val="238525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Deplacement du point (pixels)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54364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10</xdr:row>
      <xdr:rowOff>0</xdr:rowOff>
    </xdr:from>
    <xdr:to>
      <xdr:col>13</xdr:col>
      <xdr:colOff>261360</xdr:colOff>
      <xdr:row>31</xdr:row>
      <xdr:rowOff>139320</xdr:rowOff>
    </xdr:to>
    <xdr:graphicFrame>
      <xdr:nvGraphicFramePr>
        <xdr:cNvPr id="0" name="Chart 1"/>
        <xdr:cNvGraphicFramePr/>
      </xdr:nvGraphicFramePr>
      <xdr:xfrm>
        <a:off x="5956200" y="2486160"/>
        <a:ext cx="7919640" cy="41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42</xdr:row>
      <xdr:rowOff>0</xdr:rowOff>
    </xdr:from>
    <xdr:to>
      <xdr:col>13</xdr:col>
      <xdr:colOff>261360</xdr:colOff>
      <xdr:row>60</xdr:row>
      <xdr:rowOff>170640</xdr:rowOff>
    </xdr:to>
    <xdr:graphicFrame>
      <xdr:nvGraphicFramePr>
        <xdr:cNvPr id="1" name="Chart 2"/>
        <xdr:cNvGraphicFramePr/>
      </xdr:nvGraphicFramePr>
      <xdr:xfrm>
        <a:off x="5956200" y="8677440"/>
        <a:ext cx="79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24"/>
    <col collapsed="false" customWidth="true" hidden="false" outlineLevel="0" max="4" min="4" style="0" width="20"/>
    <col collapsed="false" customWidth="true" hidden="false" outlineLevel="0" max="5" min="5" style="0" width="16"/>
    <col collapsed="false" customWidth="true" hidden="false" outlineLevel="0" max="8" min="6" style="0" width="14"/>
  </cols>
  <sheetData>
    <row r="1" customFormat="false" ht="30" hidden="false" customHeight="true" outlineLevel="0" collapsed="false">
      <c r="A1" s="1" t="s">
        <v>0</v>
      </c>
      <c r="B1" s="1"/>
      <c r="C1" s="1"/>
      <c r="D1" s="1"/>
      <c r="E1" s="1"/>
      <c r="F1" s="1"/>
      <c r="G1" s="1"/>
      <c r="H1" s="1"/>
    </row>
    <row r="2" customFormat="false" ht="24" hidden="false" customHeight="true" outlineLevel="0" collapsed="false">
      <c r="A2" s="2" t="s">
        <v>1</v>
      </c>
      <c r="B2" s="2"/>
      <c r="C2" s="2"/>
      <c r="D2" s="2"/>
      <c r="E2" s="2"/>
      <c r="F2" s="2"/>
      <c r="G2" s="2"/>
      <c r="H2" s="2"/>
    </row>
    <row r="4" customFormat="false" ht="19.5" hidden="false" customHeight="true" outlineLevel="0" collapsed="false">
      <c r="A4" s="3" t="s">
        <v>2</v>
      </c>
      <c r="B4" s="3"/>
      <c r="C4" s="3"/>
      <c r="D4" s="3"/>
      <c r="E4" s="3"/>
      <c r="F4" s="3"/>
      <c r="G4" s="3"/>
      <c r="H4" s="3"/>
    </row>
    <row r="5" customFormat="false" ht="27.75" hidden="false" customHeight="true" outlineLevel="0" collapsed="false">
      <c r="A5" s="4" t="s">
        <v>3</v>
      </c>
      <c r="B5" s="4"/>
      <c r="C5" s="4"/>
      <c r="D5" s="4"/>
      <c r="E5" s="4"/>
      <c r="F5" s="4"/>
      <c r="G5" s="4"/>
      <c r="H5" s="4"/>
    </row>
    <row r="7" customFormat="false" ht="19.5" hidden="false" customHeight="true" outlineLevel="0" collapsed="false">
      <c r="A7" s="3" t="s">
        <v>4</v>
      </c>
      <c r="B7" s="3"/>
      <c r="C7" s="3"/>
      <c r="D7" s="3"/>
      <c r="E7" s="3"/>
      <c r="F7" s="3"/>
      <c r="G7" s="3"/>
      <c r="H7" s="3"/>
    </row>
    <row r="8" customFormat="false" ht="18" hidden="false" customHeight="true" outlineLevel="0" collapsed="false">
      <c r="A8" s="4" t="s">
        <v>5</v>
      </c>
      <c r="B8" s="4"/>
      <c r="C8" s="4"/>
      <c r="D8" s="4"/>
      <c r="E8" s="4"/>
      <c r="F8" s="4"/>
      <c r="G8" s="4"/>
      <c r="H8" s="4"/>
    </row>
    <row r="10" customFormat="false" ht="24" hidden="false" customHeight="true" outlineLevel="0" collapsed="false">
      <c r="A10" s="5" t="s">
        <v>6</v>
      </c>
      <c r="B10" s="5"/>
      <c r="C10" s="5"/>
      <c r="D10" s="5"/>
      <c r="E10" s="5"/>
      <c r="F10" s="5"/>
      <c r="G10" s="5"/>
      <c r="H10" s="5"/>
    </row>
    <row r="11" customFormat="false" ht="31.5" hidden="false" customHeight="true" outlineLevel="0" collapsed="false">
      <c r="A11" s="4" t="s">
        <v>7</v>
      </c>
      <c r="B11" s="4"/>
      <c r="C11" s="4"/>
      <c r="D11" s="4"/>
      <c r="E11" s="4"/>
      <c r="F11" s="4"/>
      <c r="G11" s="4"/>
      <c r="H11" s="4"/>
    </row>
    <row r="13" customFormat="false" ht="19.5" hidden="false" customHeight="true" outlineLevel="0" collapsed="false">
      <c r="A13" s="3" t="s">
        <v>8</v>
      </c>
      <c r="B13" s="3"/>
      <c r="C13" s="3"/>
      <c r="D13" s="3"/>
      <c r="E13" s="3"/>
      <c r="F13" s="3"/>
      <c r="G13" s="3"/>
      <c r="H13" s="3"/>
    </row>
    <row r="14" customFormat="false" ht="15" hidden="false" customHeight="false" outlineLevel="0" collapsed="false">
      <c r="A14" s="6" t="s">
        <v>9</v>
      </c>
      <c r="B14" s="6" t="s">
        <v>10</v>
      </c>
      <c r="C14" s="6" t="s">
        <v>11</v>
      </c>
      <c r="D14" s="6" t="s">
        <v>12</v>
      </c>
      <c r="E14" s="6" t="s">
        <v>13</v>
      </c>
    </row>
    <row r="15" customFormat="false" ht="25.5" hidden="false" customHeight="true" outlineLevel="0" collapsed="false">
      <c r="A15" s="7" t="s">
        <v>14</v>
      </c>
      <c r="B15" s="7" t="s">
        <v>15</v>
      </c>
      <c r="C15" s="7" t="s">
        <v>16</v>
      </c>
      <c r="D15" s="7" t="s">
        <v>17</v>
      </c>
      <c r="E15" s="7" t="s">
        <v>18</v>
      </c>
    </row>
    <row r="16" customFormat="false" ht="25.5" hidden="false" customHeight="true" outlineLevel="0" collapsed="false">
      <c r="A16" s="7" t="s">
        <v>19</v>
      </c>
      <c r="B16" s="7" t="s">
        <v>20</v>
      </c>
      <c r="C16" s="7" t="s">
        <v>21</v>
      </c>
      <c r="D16" s="7" t="s">
        <v>22</v>
      </c>
      <c r="E16" s="7" t="s">
        <v>23</v>
      </c>
    </row>
    <row r="17" customFormat="false" ht="25.5" hidden="false" customHeight="true" outlineLevel="0" collapsed="false">
      <c r="A17" s="7" t="s">
        <v>24</v>
      </c>
      <c r="B17" s="7" t="s">
        <v>25</v>
      </c>
      <c r="C17" s="7" t="s">
        <v>26</v>
      </c>
      <c r="D17" s="7" t="s">
        <v>27</v>
      </c>
      <c r="E17" s="7" t="s">
        <v>28</v>
      </c>
    </row>
    <row r="18" customFormat="false" ht="25.5" hidden="false" customHeight="true" outlineLevel="0" collapsed="false">
      <c r="A18" s="7" t="s">
        <v>29</v>
      </c>
      <c r="B18" s="7" t="s">
        <v>30</v>
      </c>
      <c r="C18" s="7" t="s">
        <v>31</v>
      </c>
      <c r="D18" s="7" t="s">
        <v>32</v>
      </c>
      <c r="E18" s="7" t="s">
        <v>33</v>
      </c>
    </row>
    <row r="20" customFormat="false" ht="19.5" hidden="false" customHeight="true" outlineLevel="0" collapsed="false">
      <c r="A20" s="3" t="s">
        <v>34</v>
      </c>
      <c r="B20" s="3"/>
      <c r="C20" s="3"/>
      <c r="D20" s="3"/>
      <c r="E20" s="3"/>
      <c r="F20" s="3"/>
      <c r="G20" s="3"/>
      <c r="H20" s="3"/>
    </row>
    <row r="21" customFormat="false" ht="15" hidden="false" customHeight="false" outlineLevel="0" collapsed="false">
      <c r="A21" s="6" t="s">
        <v>35</v>
      </c>
      <c r="B21" s="6" t="s">
        <v>36</v>
      </c>
    </row>
    <row r="22" customFormat="false" ht="24" hidden="false" customHeight="true" outlineLevel="0" collapsed="false">
      <c r="A22" s="8" t="s">
        <v>37</v>
      </c>
      <c r="B22" s="9" t="s">
        <v>38</v>
      </c>
      <c r="C22" s="9"/>
      <c r="D22" s="9"/>
      <c r="E22" s="9"/>
      <c r="F22" s="9"/>
      <c r="G22" s="9"/>
      <c r="H22" s="9"/>
    </row>
    <row r="23" customFormat="false" ht="24" hidden="false" customHeight="true" outlineLevel="0" collapsed="false">
      <c r="A23" s="8" t="s">
        <v>39</v>
      </c>
      <c r="B23" s="9" t="s">
        <v>40</v>
      </c>
      <c r="C23" s="9"/>
      <c r="D23" s="9"/>
      <c r="E23" s="9"/>
      <c r="F23" s="9"/>
      <c r="G23" s="9"/>
      <c r="H23" s="9"/>
    </row>
    <row r="24" customFormat="false" ht="24" hidden="false" customHeight="true" outlineLevel="0" collapsed="false">
      <c r="A24" s="8" t="s">
        <v>41</v>
      </c>
      <c r="B24" s="9" t="s">
        <v>42</v>
      </c>
      <c r="C24" s="9"/>
      <c r="D24" s="9"/>
      <c r="E24" s="9"/>
      <c r="F24" s="9"/>
      <c r="G24" s="9"/>
      <c r="H24" s="9"/>
    </row>
    <row r="25" customFormat="false" ht="24" hidden="false" customHeight="true" outlineLevel="0" collapsed="false">
      <c r="A25" s="8" t="s">
        <v>43</v>
      </c>
      <c r="B25" s="9" t="s">
        <v>44</v>
      </c>
      <c r="C25" s="9"/>
      <c r="D25" s="9"/>
      <c r="E25" s="9"/>
      <c r="F25" s="9"/>
      <c r="G25" s="9"/>
      <c r="H25" s="9"/>
    </row>
    <row r="26" customFormat="false" ht="24" hidden="false" customHeight="true" outlineLevel="0" collapsed="false">
      <c r="A26" s="8" t="s">
        <v>45</v>
      </c>
      <c r="B26" s="9" t="s">
        <v>46</v>
      </c>
      <c r="C26" s="9"/>
      <c r="D26" s="9"/>
      <c r="E26" s="9"/>
      <c r="F26" s="9"/>
      <c r="G26" s="9"/>
      <c r="H26" s="9"/>
    </row>
    <row r="27" customFormat="false" ht="24" hidden="false" customHeight="true" outlineLevel="0" collapsed="false">
      <c r="A27" s="8" t="s">
        <v>47</v>
      </c>
      <c r="B27" s="9" t="s">
        <v>48</v>
      </c>
      <c r="C27" s="9"/>
      <c r="D27" s="9"/>
      <c r="E27" s="9"/>
      <c r="F27" s="9"/>
      <c r="G27" s="9"/>
      <c r="H27" s="9"/>
    </row>
    <row r="28" customFormat="false" ht="24" hidden="false" customHeight="true" outlineLevel="0" collapsed="false">
      <c r="A28" s="8" t="s">
        <v>49</v>
      </c>
      <c r="B28" s="9" t="s">
        <v>50</v>
      </c>
      <c r="C28" s="9"/>
      <c r="D28" s="9"/>
      <c r="E28" s="9"/>
      <c r="F28" s="9"/>
      <c r="G28" s="9"/>
      <c r="H28" s="9"/>
    </row>
    <row r="29" customFormat="false" ht="24" hidden="false" customHeight="true" outlineLevel="0" collapsed="false">
      <c r="A29" s="8" t="s">
        <v>51</v>
      </c>
      <c r="B29" s="9" t="s">
        <v>52</v>
      </c>
      <c r="C29" s="9"/>
      <c r="D29" s="9"/>
      <c r="E29" s="9"/>
      <c r="F29" s="9"/>
      <c r="G29" s="9"/>
      <c r="H29" s="9"/>
    </row>
    <row r="31" customFormat="false" ht="19.5" hidden="false" customHeight="true" outlineLevel="0" collapsed="false">
      <c r="A31" s="3" t="s">
        <v>53</v>
      </c>
      <c r="B31" s="3"/>
      <c r="C31" s="3"/>
      <c r="D31" s="3"/>
      <c r="E31" s="3"/>
      <c r="F31" s="3"/>
      <c r="G31" s="3"/>
      <c r="H31" s="3"/>
    </row>
    <row r="32" customFormat="false" ht="15" hidden="false" customHeight="true" outlineLevel="0" collapsed="false">
      <c r="A32" s="10" t="s">
        <v>54</v>
      </c>
      <c r="B32" s="11" t="s">
        <v>55</v>
      </c>
      <c r="C32" s="11"/>
      <c r="D32" s="11"/>
      <c r="E32" s="11"/>
      <c r="F32" s="11"/>
      <c r="G32" s="11"/>
      <c r="H32" s="11"/>
    </row>
    <row r="33" customFormat="false" ht="15" hidden="false" customHeight="true" outlineLevel="0" collapsed="false">
      <c r="A33" s="12" t="s">
        <v>54</v>
      </c>
      <c r="B33" s="11" t="s">
        <v>56</v>
      </c>
      <c r="C33" s="11"/>
      <c r="D33" s="11"/>
      <c r="E33" s="11"/>
      <c r="F33" s="11"/>
      <c r="G33" s="11"/>
      <c r="H33" s="11"/>
    </row>
    <row r="34" customFormat="false" ht="15" hidden="false" customHeight="true" outlineLevel="0" collapsed="false">
      <c r="A34" s="13" t="s">
        <v>54</v>
      </c>
      <c r="B34" s="11" t="s">
        <v>57</v>
      </c>
      <c r="C34" s="11"/>
      <c r="D34" s="11"/>
      <c r="E34" s="11"/>
      <c r="F34" s="11"/>
      <c r="G34" s="11"/>
      <c r="H34" s="11"/>
    </row>
    <row r="36" customFormat="false" ht="19.5" hidden="false" customHeight="true" outlineLevel="0" collapsed="false">
      <c r="A36" s="3" t="s">
        <v>58</v>
      </c>
      <c r="B36" s="3"/>
      <c r="C36" s="3"/>
      <c r="D36" s="3"/>
      <c r="E36" s="3"/>
      <c r="F36" s="3"/>
      <c r="G36" s="3"/>
      <c r="H36" s="3"/>
    </row>
    <row r="37" customFormat="false" ht="15" hidden="false" customHeight="false" outlineLevel="0" collapsed="false">
      <c r="A37" s="14" t="s">
        <v>59</v>
      </c>
      <c r="B37" s="15" t="str">
        <f aca="false">5_Nos_chiffres!C4</f>
        <v>Dans le tube (tube_air)</v>
      </c>
      <c r="C37" s="15"/>
    </row>
    <row r="38" customFormat="false" ht="15" hidden="false" customHeight="false" outlineLevel="0" collapsed="false">
      <c r="A38" s="14" t="s">
        <v>60</v>
      </c>
      <c r="B38" s="16" t="n">
        <f aca="false">5_Nos_chiffres!C5</f>
        <v>595.7891</v>
      </c>
      <c r="C38" s="16"/>
    </row>
    <row r="39" customFormat="false" ht="15" hidden="false" customHeight="false" outlineLevel="0" collapsed="false">
      <c r="A39" s="14" t="s">
        <v>61</v>
      </c>
      <c r="B39" s="16" t="n">
        <f aca="false">5_Nos_chiffres!C6</f>
        <v>607.521</v>
      </c>
      <c r="C39" s="16"/>
    </row>
    <row r="40" customFormat="false" ht="15" hidden="false" customHeight="false" outlineLevel="0" collapsed="false">
      <c r="A40" s="14" t="s">
        <v>62</v>
      </c>
      <c r="B40" s="17" t="n">
        <f aca="false">4_Calibration!C26</f>
        <v>0.4445</v>
      </c>
      <c r="C40" s="17"/>
    </row>
    <row r="41" customFormat="false" ht="15" hidden="false" customHeight="false" outlineLevel="0" collapsed="false">
      <c r="A41" s="14" t="s">
        <v>63</v>
      </c>
      <c r="B41" s="18" t="n">
        <f aca="false">4_Calibration!C21</f>
        <v>31</v>
      </c>
      <c r="C41" s="18"/>
    </row>
    <row r="42" customFormat="false" ht="15" hidden="false" customHeight="false" outlineLevel="0" collapsed="false">
      <c r="A42" s="14" t="s">
        <v>64</v>
      </c>
      <c r="B42" s="16" t="n">
        <f aca="false">6_Sous_leau!C21</f>
        <v>792.399503</v>
      </c>
      <c r="C42" s="16"/>
    </row>
    <row r="43" customFormat="false" ht="15" hidden="false" customHeight="false" outlineLevel="0" collapsed="false">
      <c r="A43" s="14" t="s">
        <v>65</v>
      </c>
      <c r="B43" s="16" t="n">
        <f aca="false">6_Sous_leau!C22</f>
        <v>624.956383507277</v>
      </c>
      <c r="C43" s="16"/>
    </row>
  </sheetData>
  <mergeCells count="30">
    <mergeCell ref="A1:H1"/>
    <mergeCell ref="A2:H2"/>
    <mergeCell ref="A4:H4"/>
    <mergeCell ref="A5:H5"/>
    <mergeCell ref="A7:H7"/>
    <mergeCell ref="A8:H8"/>
    <mergeCell ref="A10:H10"/>
    <mergeCell ref="A11:H11"/>
    <mergeCell ref="A13:H13"/>
    <mergeCell ref="A20:H20"/>
    <mergeCell ref="B22:H22"/>
    <mergeCell ref="B23:H23"/>
    <mergeCell ref="B24:H24"/>
    <mergeCell ref="B25:H25"/>
    <mergeCell ref="B26:H26"/>
    <mergeCell ref="B27:H27"/>
    <mergeCell ref="B28:H28"/>
    <mergeCell ref="B29:H29"/>
    <mergeCell ref="A31:H31"/>
    <mergeCell ref="B32:H32"/>
    <mergeCell ref="B33:H33"/>
    <mergeCell ref="B34:H34"/>
    <mergeCell ref="A36:H36"/>
    <mergeCell ref="B37:C37"/>
    <mergeCell ref="B38:C38"/>
    <mergeCell ref="B39:C39"/>
    <mergeCell ref="B40:C40"/>
    <mergeCell ref="B41:C41"/>
    <mergeCell ref="B42:C42"/>
    <mergeCell ref="B43:C4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2" style="0" width="22"/>
    <col collapsed="false" customWidth="true" hidden="false" outlineLevel="0" max="5" min="5" style="0" width="16"/>
    <col collapsed="false" customWidth="true" hidden="false" outlineLevel="0" max="8" min="6" style="0" width="14"/>
  </cols>
  <sheetData>
    <row r="1" customFormat="false" ht="30" hidden="false" customHeight="true" outlineLevel="0" collapsed="false">
      <c r="A1" s="1" t="s">
        <v>66</v>
      </c>
      <c r="B1" s="1"/>
      <c r="C1" s="1"/>
      <c r="D1" s="1"/>
      <c r="E1" s="1"/>
      <c r="F1" s="1"/>
      <c r="G1" s="1"/>
      <c r="H1" s="1"/>
    </row>
    <row r="2" customFormat="false" ht="24" hidden="false" customHeight="true" outlineLevel="0" collapsed="false">
      <c r="A2" s="2" t="s">
        <v>67</v>
      </c>
      <c r="B2" s="2"/>
      <c r="C2" s="2"/>
      <c r="D2" s="2"/>
      <c r="E2" s="2"/>
      <c r="F2" s="2"/>
      <c r="G2" s="2"/>
      <c r="H2" s="2"/>
    </row>
    <row r="4" customFormat="false" ht="19.5" hidden="false" customHeight="true" outlineLevel="0" collapsed="false">
      <c r="A4" s="3" t="s">
        <v>68</v>
      </c>
      <c r="B4" s="3"/>
      <c r="C4" s="3"/>
      <c r="D4" s="3"/>
      <c r="E4" s="3"/>
      <c r="F4" s="3"/>
      <c r="G4" s="3"/>
      <c r="H4" s="3"/>
    </row>
    <row r="5" customFormat="false" ht="45.75" hidden="false" customHeight="true" outlineLevel="0" collapsed="false">
      <c r="A5" s="4" t="s">
        <v>69</v>
      </c>
      <c r="B5" s="4"/>
      <c r="C5" s="4"/>
      <c r="D5" s="4"/>
      <c r="E5" s="4"/>
      <c r="F5" s="4"/>
      <c r="G5" s="4"/>
      <c r="H5" s="4"/>
    </row>
    <row r="7" customFormat="false" ht="24" hidden="false" customHeight="true" outlineLevel="0" collapsed="false">
      <c r="A7" s="5" t="s">
        <v>70</v>
      </c>
      <c r="B7" s="5"/>
      <c r="C7" s="5"/>
      <c r="D7" s="5"/>
      <c r="E7" s="5"/>
      <c r="F7" s="5"/>
      <c r="G7" s="5"/>
      <c r="H7" s="5"/>
    </row>
    <row r="9" customFormat="false" ht="19.5" hidden="false" customHeight="true" outlineLevel="0" collapsed="false">
      <c r="A9" s="3" t="s">
        <v>71</v>
      </c>
      <c r="B9" s="3"/>
      <c r="C9" s="3"/>
      <c r="D9" s="3"/>
      <c r="E9" s="3"/>
      <c r="F9" s="3"/>
      <c r="G9" s="3"/>
      <c r="H9" s="3"/>
    </row>
    <row r="10" customFormat="false" ht="27.75" hidden="false" customHeight="true" outlineLevel="0" collapsed="false">
      <c r="A10" s="4" t="s">
        <v>72</v>
      </c>
      <c r="B10" s="4"/>
      <c r="C10" s="4"/>
      <c r="D10" s="4"/>
      <c r="E10" s="4"/>
      <c r="F10" s="4"/>
      <c r="G10" s="4"/>
      <c r="H10" s="4"/>
    </row>
    <row r="11" customFormat="false" ht="24" hidden="false" customHeight="true" outlineLevel="0" collapsed="false">
      <c r="A11" s="5" t="s">
        <v>73</v>
      </c>
      <c r="B11" s="5"/>
      <c r="C11" s="5"/>
      <c r="D11" s="5"/>
      <c r="E11" s="5"/>
      <c r="F11" s="5"/>
      <c r="G11" s="5"/>
      <c r="H11" s="5"/>
    </row>
    <row r="12" customFormat="false" ht="45.75" hidden="false" customHeight="true" outlineLevel="0" collapsed="false">
      <c r="A12" s="4" t="s">
        <v>74</v>
      </c>
      <c r="B12" s="4"/>
      <c r="C12" s="4"/>
      <c r="D12" s="4"/>
      <c r="E12" s="4"/>
      <c r="F12" s="4"/>
      <c r="G12" s="4"/>
      <c r="H12" s="4"/>
    </row>
    <row r="14" customFormat="false" ht="19.5" hidden="false" customHeight="true" outlineLevel="0" collapsed="false">
      <c r="A14" s="3" t="s">
        <v>75</v>
      </c>
      <c r="B14" s="3"/>
      <c r="C14" s="3"/>
      <c r="D14" s="3"/>
      <c r="E14" s="3"/>
      <c r="F14" s="3"/>
      <c r="G14" s="3"/>
      <c r="H14" s="3"/>
    </row>
    <row r="15" customFormat="false" ht="27.75" hidden="false" customHeight="true" outlineLevel="0" collapsed="false">
      <c r="A15" s="4" t="s">
        <v>76</v>
      </c>
      <c r="B15" s="4"/>
      <c r="C15" s="4"/>
      <c r="D15" s="4"/>
      <c r="E15" s="4"/>
      <c r="F15" s="4"/>
      <c r="G15" s="4"/>
      <c r="H15" s="4"/>
    </row>
    <row r="16" customFormat="false" ht="24" hidden="false" customHeight="true" outlineLevel="0" collapsed="false">
      <c r="A16" s="5" t="s">
        <v>77</v>
      </c>
      <c r="B16" s="5"/>
      <c r="C16" s="5"/>
      <c r="D16" s="5"/>
      <c r="E16" s="5"/>
      <c r="F16" s="5"/>
      <c r="G16" s="5"/>
      <c r="H16" s="5"/>
    </row>
    <row r="17" customFormat="false" ht="60" hidden="false" customHeight="true" outlineLevel="0" collapsed="false">
      <c r="A17" s="4" t="s">
        <v>78</v>
      </c>
      <c r="B17" s="4"/>
      <c r="C17" s="4"/>
      <c r="D17" s="4"/>
      <c r="E17" s="4"/>
      <c r="F17" s="4"/>
      <c r="G17" s="4"/>
      <c r="H17" s="4"/>
    </row>
    <row r="19" customFormat="false" ht="19.5" hidden="false" customHeight="true" outlineLevel="0" collapsed="false">
      <c r="A19" s="3" t="s">
        <v>79</v>
      </c>
      <c r="B19" s="3"/>
      <c r="C19" s="3"/>
      <c r="D19" s="3"/>
      <c r="E19" s="3"/>
      <c r="F19" s="3"/>
      <c r="G19" s="3"/>
      <c r="H19" s="3"/>
    </row>
    <row r="20" customFormat="false" ht="31.5" hidden="false" customHeight="true" outlineLevel="0" collapsed="false">
      <c r="A20" s="4" t="s">
        <v>80</v>
      </c>
      <c r="B20" s="4"/>
      <c r="C20" s="4"/>
      <c r="D20" s="4"/>
      <c r="E20" s="4"/>
      <c r="F20" s="4"/>
      <c r="G20" s="4"/>
      <c r="H20" s="4"/>
    </row>
    <row r="21" customFormat="false" ht="24" hidden="false" customHeight="true" outlineLevel="0" collapsed="false">
      <c r="A21" s="5" t="s">
        <v>81</v>
      </c>
      <c r="B21" s="5"/>
      <c r="C21" s="5"/>
      <c r="D21" s="5"/>
      <c r="E21" s="5"/>
      <c r="F21" s="5"/>
      <c r="G21" s="5"/>
      <c r="H21" s="5"/>
    </row>
    <row r="22" customFormat="false" ht="24" hidden="false" customHeight="true" outlineLevel="0" collapsed="false">
      <c r="A22" s="5" t="s">
        <v>82</v>
      </c>
      <c r="B22" s="5"/>
      <c r="C22" s="5"/>
      <c r="D22" s="5"/>
      <c r="E22" s="5"/>
      <c r="F22" s="5"/>
      <c r="G22" s="5"/>
      <c r="H22" s="5"/>
    </row>
    <row r="24" customFormat="false" ht="19.5" hidden="false" customHeight="true" outlineLevel="0" collapsed="false">
      <c r="A24" s="3" t="s">
        <v>83</v>
      </c>
      <c r="B24" s="3"/>
      <c r="C24" s="3"/>
      <c r="D24" s="3"/>
      <c r="E24" s="3"/>
      <c r="F24" s="3"/>
      <c r="G24" s="3"/>
      <c r="H24" s="3"/>
    </row>
    <row r="25" customFormat="false" ht="18" hidden="false" customHeight="true" outlineLevel="0" collapsed="false">
      <c r="A25" s="4" t="s">
        <v>84</v>
      </c>
      <c r="B25" s="4"/>
      <c r="C25" s="4"/>
      <c r="D25" s="4"/>
      <c r="E25" s="4"/>
      <c r="F25" s="4"/>
      <c r="G25" s="4"/>
      <c r="H25" s="4"/>
    </row>
    <row r="26" customFormat="false" ht="24" hidden="false" customHeight="true" outlineLevel="0" collapsed="false">
      <c r="A26" s="5" t="s">
        <v>85</v>
      </c>
      <c r="B26" s="5"/>
      <c r="C26" s="5"/>
      <c r="D26" s="5"/>
      <c r="E26" s="5"/>
      <c r="F26" s="5"/>
      <c r="G26" s="5"/>
      <c r="H26" s="5"/>
    </row>
    <row r="27" customFormat="false" ht="15.75" hidden="false" customHeight="true" outlineLevel="0" collapsed="false">
      <c r="A27" s="4" t="s">
        <v>86</v>
      </c>
      <c r="B27" s="4"/>
      <c r="C27" s="4"/>
      <c r="D27" s="4"/>
      <c r="E27" s="4"/>
      <c r="F27" s="4"/>
      <c r="G27" s="4"/>
      <c r="H27" s="4"/>
    </row>
    <row r="28" customFormat="false" ht="24" hidden="false" customHeight="true" outlineLevel="0" collapsed="false">
      <c r="A28" s="5" t="s">
        <v>87</v>
      </c>
      <c r="B28" s="5"/>
      <c r="C28" s="5"/>
      <c r="D28" s="5"/>
      <c r="E28" s="5"/>
      <c r="F28" s="5"/>
      <c r="G28" s="5"/>
      <c r="H28" s="5"/>
    </row>
    <row r="30" customFormat="false" ht="19.5" hidden="false" customHeight="true" outlineLevel="0" collapsed="false">
      <c r="A30" s="3" t="s">
        <v>88</v>
      </c>
      <c r="B30" s="3"/>
      <c r="C30" s="3"/>
      <c r="D30" s="3"/>
      <c r="E30" s="3"/>
      <c r="F30" s="3"/>
      <c r="G30" s="3"/>
      <c r="H30" s="3"/>
    </row>
    <row r="31" customFormat="false" ht="15" hidden="false" customHeight="false" outlineLevel="0" collapsed="false">
      <c r="A31" s="6" t="s">
        <v>89</v>
      </c>
      <c r="B31" s="6" t="s">
        <v>90</v>
      </c>
      <c r="C31" s="6" t="s">
        <v>91</v>
      </c>
      <c r="D31" s="6" t="s">
        <v>92</v>
      </c>
    </row>
    <row r="32" customFormat="false" ht="22.35" hidden="false" customHeight="false" outlineLevel="0" collapsed="false">
      <c r="A32" s="7" t="s">
        <v>93</v>
      </c>
      <c r="B32" s="7" t="s">
        <v>94</v>
      </c>
      <c r="C32" s="7" t="s">
        <v>95</v>
      </c>
      <c r="D32" s="7" t="s">
        <v>96</v>
      </c>
    </row>
    <row r="33" customFormat="false" ht="22.35" hidden="false" customHeight="false" outlineLevel="0" collapsed="false">
      <c r="A33" s="7" t="s">
        <v>17</v>
      </c>
      <c r="B33" s="7" t="s">
        <v>97</v>
      </c>
      <c r="C33" s="7" t="s">
        <v>98</v>
      </c>
      <c r="D33" s="7" t="s">
        <v>99</v>
      </c>
    </row>
    <row r="34" customFormat="false" ht="22.35" hidden="false" customHeight="false" outlineLevel="0" collapsed="false">
      <c r="A34" s="7" t="s">
        <v>100</v>
      </c>
      <c r="B34" s="7" t="s">
        <v>101</v>
      </c>
      <c r="C34" s="7" t="s">
        <v>102</v>
      </c>
      <c r="D34" s="7" t="s">
        <v>103</v>
      </c>
    </row>
    <row r="35" customFormat="false" ht="22.35" hidden="false" customHeight="false" outlineLevel="0" collapsed="false">
      <c r="A35" s="7" t="s">
        <v>104</v>
      </c>
      <c r="B35" s="7" t="s">
        <v>105</v>
      </c>
      <c r="C35" s="7" t="s">
        <v>102</v>
      </c>
      <c r="D35" s="7" t="s">
        <v>106</v>
      </c>
    </row>
    <row r="36" customFormat="false" ht="22.35" hidden="false" customHeight="false" outlineLevel="0" collapsed="false">
      <c r="A36" s="7" t="s">
        <v>107</v>
      </c>
      <c r="B36" s="7" t="s">
        <v>108</v>
      </c>
      <c r="C36" s="7" t="s">
        <v>109</v>
      </c>
      <c r="D36" s="7" t="s">
        <v>110</v>
      </c>
    </row>
    <row r="37" customFormat="false" ht="15" hidden="false" customHeight="false" outlineLevel="0" collapsed="false">
      <c r="A37" s="7" t="s">
        <v>111</v>
      </c>
      <c r="B37" s="7" t="s">
        <v>112</v>
      </c>
      <c r="C37" s="7" t="s">
        <v>109</v>
      </c>
      <c r="D37" s="7" t="s">
        <v>113</v>
      </c>
    </row>
    <row r="38" customFormat="false" ht="15" hidden="false" customHeight="false" outlineLevel="0" collapsed="false">
      <c r="A38" s="7" t="s">
        <v>114</v>
      </c>
      <c r="B38" s="7" t="s">
        <v>115</v>
      </c>
      <c r="C38" s="7" t="s">
        <v>102</v>
      </c>
      <c r="D38" s="7" t="s">
        <v>116</v>
      </c>
    </row>
    <row r="39" customFormat="false" ht="15" hidden="false" customHeight="false" outlineLevel="0" collapsed="false">
      <c r="A39" s="7" t="s">
        <v>117</v>
      </c>
      <c r="B39" s="7" t="s">
        <v>118</v>
      </c>
      <c r="C39" s="7" t="s">
        <v>102</v>
      </c>
      <c r="D39" s="7" t="s">
        <v>119</v>
      </c>
    </row>
    <row r="40" customFormat="false" ht="22.35" hidden="false" customHeight="false" outlineLevel="0" collapsed="false">
      <c r="A40" s="7" t="s">
        <v>120</v>
      </c>
      <c r="B40" s="7" t="s">
        <v>121</v>
      </c>
      <c r="C40" s="7" t="s">
        <v>109</v>
      </c>
      <c r="D40" s="7" t="s">
        <v>122</v>
      </c>
    </row>
    <row r="42" customFormat="false" ht="19.5" hidden="false" customHeight="true" outlineLevel="0" collapsed="false">
      <c r="A42" s="3" t="s">
        <v>123</v>
      </c>
      <c r="B42" s="3"/>
      <c r="C42" s="3"/>
      <c r="D42" s="3"/>
      <c r="E42" s="3"/>
      <c r="F42" s="3"/>
      <c r="G42" s="3"/>
      <c r="H42" s="3"/>
    </row>
    <row r="43" customFormat="false" ht="60" hidden="false" customHeight="true" outlineLevel="0" collapsed="false">
      <c r="A43" s="4" t="s">
        <v>124</v>
      </c>
      <c r="B43" s="4"/>
      <c r="C43" s="4"/>
      <c r="D43" s="4"/>
      <c r="E43" s="4"/>
      <c r="F43" s="4"/>
      <c r="G43" s="4"/>
      <c r="H43" s="4"/>
    </row>
    <row r="45" customFormat="false" ht="19.5" hidden="false" customHeight="true" outlineLevel="0" collapsed="false">
      <c r="A45" s="3" t="s">
        <v>125</v>
      </c>
      <c r="B45" s="3"/>
      <c r="C45" s="3"/>
      <c r="D45" s="3"/>
      <c r="E45" s="3"/>
      <c r="F45" s="3"/>
      <c r="G45" s="3"/>
      <c r="H45" s="3"/>
    </row>
    <row r="46" customFormat="false" ht="15" hidden="false" customHeight="true" outlineLevel="0" collapsed="false">
      <c r="A46" s="14" t="s">
        <v>126</v>
      </c>
      <c r="B46" s="19" t="n">
        <v>4</v>
      </c>
      <c r="C46" s="9" t="s">
        <v>127</v>
      </c>
      <c r="D46" s="9"/>
      <c r="E46" s="9"/>
      <c r="F46" s="9"/>
      <c r="G46" s="9"/>
      <c r="H46" s="9"/>
    </row>
    <row r="47" customFormat="false" ht="15" hidden="false" customHeight="true" outlineLevel="0" collapsed="false">
      <c r="A47" s="14" t="s">
        <v>128</v>
      </c>
      <c r="B47" s="19" t="n">
        <v>5</v>
      </c>
      <c r="C47" s="9" t="s">
        <v>129</v>
      </c>
      <c r="D47" s="9"/>
      <c r="E47" s="9"/>
      <c r="F47" s="9"/>
      <c r="G47" s="9"/>
      <c r="H47" s="9"/>
    </row>
    <row r="48" customFormat="false" ht="15" hidden="false" customHeight="true" outlineLevel="0" collapsed="false">
      <c r="A48" s="14" t="s">
        <v>130</v>
      </c>
      <c r="B48" s="19" t="n">
        <v>6</v>
      </c>
      <c r="C48" s="9" t="s">
        <v>131</v>
      </c>
      <c r="D48" s="9"/>
      <c r="E48" s="9"/>
      <c r="F48" s="9"/>
      <c r="G48" s="9"/>
      <c r="H48" s="9"/>
    </row>
    <row r="49" customFormat="false" ht="15" hidden="false" customHeight="true" outlineLevel="0" collapsed="false">
      <c r="A49" s="20" t="s">
        <v>132</v>
      </c>
      <c r="B49" s="21" t="n">
        <f aca="false">B46+B47+B48*4_Calibration!C21</f>
        <v>195</v>
      </c>
      <c r="C49" s="9" t="s">
        <v>133</v>
      </c>
      <c r="D49" s="9"/>
      <c r="E49" s="9"/>
      <c r="F49" s="9"/>
      <c r="G49" s="9"/>
      <c r="H49" s="9"/>
    </row>
  </sheetData>
  <mergeCells count="30">
    <mergeCell ref="A1:H1"/>
    <mergeCell ref="A2:H2"/>
    <mergeCell ref="A4:H4"/>
    <mergeCell ref="A5:H5"/>
    <mergeCell ref="A7:H7"/>
    <mergeCell ref="A9:H9"/>
    <mergeCell ref="A10:H10"/>
    <mergeCell ref="A11:H11"/>
    <mergeCell ref="A12:H12"/>
    <mergeCell ref="A14:H14"/>
    <mergeCell ref="A15:H15"/>
    <mergeCell ref="A16:H16"/>
    <mergeCell ref="A17:H17"/>
    <mergeCell ref="A19:H19"/>
    <mergeCell ref="A20:H20"/>
    <mergeCell ref="A21:H21"/>
    <mergeCell ref="A22:H22"/>
    <mergeCell ref="A24:H24"/>
    <mergeCell ref="A25:H25"/>
    <mergeCell ref="A26:H26"/>
    <mergeCell ref="A27:H27"/>
    <mergeCell ref="A28:H28"/>
    <mergeCell ref="A30:H30"/>
    <mergeCell ref="A42:H42"/>
    <mergeCell ref="A43:H43"/>
    <mergeCell ref="A45:H45"/>
    <mergeCell ref="C46:H46"/>
    <mergeCell ref="C47:H47"/>
    <mergeCell ref="C48:H48"/>
    <mergeCell ref="C49:H49"/>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4"/>
    <col collapsed="false" customWidth="true" hidden="false" outlineLevel="0" max="5" min="5" style="0" width="12"/>
    <col collapsed="false" customWidth="true" hidden="false" outlineLevel="0" max="6" min="6" style="0" width="44"/>
    <col collapsed="false" customWidth="true" hidden="false" outlineLevel="0" max="8" min="7" style="0" width="12"/>
  </cols>
  <sheetData>
    <row r="1" customFormat="false" ht="30" hidden="false" customHeight="true" outlineLevel="0" collapsed="false">
      <c r="A1" s="1" t="s">
        <v>134</v>
      </c>
      <c r="B1" s="1"/>
      <c r="C1" s="1"/>
      <c r="D1" s="1"/>
      <c r="E1" s="1"/>
      <c r="F1" s="1"/>
    </row>
    <row r="2" customFormat="false" ht="24" hidden="false" customHeight="true" outlineLevel="0" collapsed="false">
      <c r="A2" s="2" t="s">
        <v>135</v>
      </c>
      <c r="B2" s="2"/>
      <c r="C2" s="2"/>
      <c r="D2" s="2"/>
      <c r="E2" s="2"/>
      <c r="F2" s="2"/>
    </row>
    <row r="4" customFormat="false" ht="19.5" hidden="false" customHeight="true" outlineLevel="0" collapsed="false">
      <c r="A4" s="3" t="s">
        <v>136</v>
      </c>
      <c r="B4" s="3"/>
      <c r="C4" s="3"/>
      <c r="D4" s="3"/>
      <c r="E4" s="3"/>
      <c r="F4" s="3"/>
    </row>
    <row r="5" customFormat="false" ht="15" hidden="false" customHeight="false" outlineLevel="0" collapsed="false">
      <c r="A5" s="22" t="s">
        <v>137</v>
      </c>
    </row>
    <row r="6" customFormat="false" ht="15" hidden="false" customHeight="false" outlineLevel="0" collapsed="false">
      <c r="A6" s="14" t="s">
        <v>138</v>
      </c>
      <c r="B6" s="23" t="n">
        <v>0.3</v>
      </c>
      <c r="F6" s="24" t="s">
        <v>139</v>
      </c>
    </row>
    <row r="7" customFormat="false" ht="15" hidden="false" customHeight="false" outlineLevel="0" collapsed="false">
      <c r="A7" s="14" t="s">
        <v>140</v>
      </c>
      <c r="B7" s="23" t="n">
        <v>0.15</v>
      </c>
      <c r="F7" s="24" t="s">
        <v>141</v>
      </c>
    </row>
    <row r="8" customFormat="false" ht="15" hidden="false" customHeight="false" outlineLevel="0" collapsed="false">
      <c r="A8" s="14" t="s">
        <v>142</v>
      </c>
      <c r="B8" s="23" t="n">
        <v>2</v>
      </c>
      <c r="F8" s="24" t="s">
        <v>143</v>
      </c>
    </row>
    <row r="10" customFormat="false" ht="15" hidden="false" customHeight="false" outlineLevel="0" collapsed="false">
      <c r="A10" s="22" t="s">
        <v>144</v>
      </c>
      <c r="E10" s="25" t="s">
        <v>145</v>
      </c>
    </row>
    <row r="11" customFormat="false" ht="25.5" hidden="false" customHeight="true" outlineLevel="0" collapsed="false">
      <c r="A11" s="26" t="s">
        <v>146</v>
      </c>
      <c r="B11" s="26"/>
      <c r="C11" s="26"/>
      <c r="D11" s="26"/>
      <c r="E11" s="26"/>
      <c r="F11" s="26"/>
    </row>
    <row r="12" customFormat="false" ht="15" hidden="false" customHeight="false" outlineLevel="0" collapsed="false">
      <c r="A12" s="14" t="s">
        <v>147</v>
      </c>
      <c r="B12" s="27" t="n">
        <v>1</v>
      </c>
      <c r="C12" s="27" t="n">
        <v>0</v>
      </c>
      <c r="D12" s="27" t="n">
        <v>0</v>
      </c>
      <c r="E12" s="23" t="n">
        <v>0</v>
      </c>
    </row>
    <row r="13" customFormat="false" ht="15" hidden="false" customHeight="false" outlineLevel="0" collapsed="false">
      <c r="A13" s="14" t="s">
        <v>148</v>
      </c>
      <c r="B13" s="27" t="n">
        <v>0</v>
      </c>
      <c r="C13" s="27" t="n">
        <v>1</v>
      </c>
      <c r="D13" s="27" t="n">
        <v>0</v>
      </c>
      <c r="E13" s="23" t="n">
        <v>0</v>
      </c>
    </row>
    <row r="14" customFormat="false" ht="15" hidden="false" customHeight="false" outlineLevel="0" collapsed="false">
      <c r="A14" s="14" t="s">
        <v>149</v>
      </c>
      <c r="B14" s="27" t="n">
        <v>0</v>
      </c>
      <c r="C14" s="27" t="n">
        <v>0</v>
      </c>
      <c r="D14" s="27" t="n">
        <v>1</v>
      </c>
      <c r="E14" s="23" t="n">
        <v>0</v>
      </c>
    </row>
    <row r="16" customFormat="false" ht="19.5" hidden="false" customHeight="true" outlineLevel="0" collapsed="false">
      <c r="A16" s="3" t="s">
        <v>150</v>
      </c>
      <c r="B16" s="3"/>
      <c r="C16" s="3"/>
      <c r="D16" s="3"/>
      <c r="E16" s="3"/>
      <c r="F16" s="3"/>
    </row>
    <row r="17" customFormat="false" ht="15" hidden="false" customHeight="false" outlineLevel="0" collapsed="false">
      <c r="A17" s="14" t="s">
        <v>151</v>
      </c>
      <c r="B17" s="28" t="n">
        <f aca="false">B12*$B$6+C12*$B$7+D12*$B$8+E12</f>
        <v>0.3</v>
      </c>
      <c r="F17" s="24" t="s">
        <v>152</v>
      </c>
    </row>
    <row r="18" customFormat="false" ht="15" hidden="false" customHeight="false" outlineLevel="0" collapsed="false">
      <c r="A18" s="14" t="s">
        <v>153</v>
      </c>
      <c r="B18" s="28" t="n">
        <f aca="false">B13*$B$6+C13*$B$7+D13*$B$8+E13</f>
        <v>0.15</v>
      </c>
    </row>
    <row r="19" customFormat="false" ht="15" hidden="false" customHeight="false" outlineLevel="0" collapsed="false">
      <c r="A19" s="14" t="s">
        <v>154</v>
      </c>
      <c r="B19" s="28" t="n">
        <f aca="false">B14*$B$6+C14*$B$7+D14*$B$8+E14</f>
        <v>2</v>
      </c>
    </row>
    <row r="21" customFormat="false" ht="19.5" hidden="false" customHeight="true" outlineLevel="0" collapsed="false">
      <c r="A21" s="3" t="s">
        <v>155</v>
      </c>
      <c r="B21" s="3"/>
      <c r="C21" s="3"/>
      <c r="D21" s="3"/>
      <c r="E21" s="3"/>
      <c r="F21" s="3"/>
    </row>
    <row r="22" customFormat="false" ht="25.5" hidden="false" customHeight="true" outlineLevel="0" collapsed="false">
      <c r="A22" s="14" t="s">
        <v>156</v>
      </c>
      <c r="B22" s="29" t="n">
        <f aca="false">IF($B$19&lt;=0,"",$B$17/$B$19)</f>
        <v>0.15</v>
      </c>
      <c r="F22" s="30" t="s">
        <v>157</v>
      </c>
    </row>
    <row r="23" customFormat="false" ht="15" hidden="false" customHeight="false" outlineLevel="0" collapsed="false">
      <c r="A23" s="14" t="s">
        <v>158</v>
      </c>
      <c r="B23" s="29" t="n">
        <f aca="false">IF($B$19&lt;=0,"",$B$18/$B$19)</f>
        <v>0.075</v>
      </c>
    </row>
    <row r="25" customFormat="false" ht="19.5" hidden="false" customHeight="true" outlineLevel="0" collapsed="false">
      <c r="A25" s="3" t="s">
        <v>159</v>
      </c>
      <c r="B25" s="3"/>
      <c r="C25" s="3"/>
      <c r="D25" s="3"/>
      <c r="E25" s="3"/>
      <c r="F25" s="3"/>
    </row>
    <row r="26" customFormat="false" ht="15" hidden="false" customHeight="false" outlineLevel="0" collapsed="false">
      <c r="A26" s="14" t="s">
        <v>160</v>
      </c>
      <c r="B26" s="29" t="n">
        <f aca="false">B22^2+B23^2</f>
        <v>0.028125</v>
      </c>
    </row>
    <row r="27" customFormat="false" ht="15" hidden="false" customHeight="false" outlineLevel="0" collapsed="false">
      <c r="A27" s="14" t="s">
        <v>161</v>
      </c>
      <c r="B27" s="29" t="n">
        <f aca="false">SQRT(B26)</f>
        <v>0.167705098312484</v>
      </c>
    </row>
    <row r="28" customFormat="false" ht="15" hidden="false" customHeight="false" outlineLevel="0" collapsed="false">
      <c r="A28" s="14" t="s">
        <v>162</v>
      </c>
      <c r="B28" s="29" t="n">
        <f aca="false">1+5_Nos_chiffres!$C$9*B26+5_Nos_chiffres!$C$10*B26^2+5_Nos_chiffres!$C$13*B26^3</f>
        <v>1.00062162244525</v>
      </c>
      <c r="F28" s="30" t="s">
        <v>163</v>
      </c>
    </row>
    <row r="29" customFormat="false" ht="15" hidden="false" customHeight="false" outlineLevel="0" collapsed="false">
      <c r="A29" s="14" t="s">
        <v>164</v>
      </c>
      <c r="B29" s="29" t="n">
        <f aca="false">2*5_Nos_chiffres!$C$11*B22*B23+5_Nos_chiffres!$C$12*(B26+2*B22^2)</f>
        <v>0.00037906875</v>
      </c>
    </row>
    <row r="30" customFormat="false" ht="15" hidden="false" customHeight="false" outlineLevel="0" collapsed="false">
      <c r="A30" s="14" t="s">
        <v>165</v>
      </c>
      <c r="B30" s="29" t="n">
        <f aca="false">5_Nos_chiffres!$C$11*(B26+2*B23^2)+2*5_Nos_chiffres!$C$12*B22*B23</f>
        <v>0.000376284375</v>
      </c>
    </row>
    <row r="31" customFormat="false" ht="15" hidden="false" customHeight="false" outlineLevel="0" collapsed="false">
      <c r="A31" s="14" t="s">
        <v>166</v>
      </c>
      <c r="B31" s="29" t="n">
        <f aca="false">B22*B28+B29</f>
        <v>0.150472312116788</v>
      </c>
    </row>
    <row r="32" customFormat="false" ht="15" hidden="false" customHeight="false" outlineLevel="0" collapsed="false">
      <c r="A32" s="14" t="s">
        <v>167</v>
      </c>
      <c r="B32" s="29" t="n">
        <f aca="false">B23*B28+B30</f>
        <v>0.0754229060583939</v>
      </c>
    </row>
    <row r="34" customFormat="false" ht="19.5" hidden="false" customHeight="true" outlineLevel="0" collapsed="false">
      <c r="A34" s="3" t="s">
        <v>168</v>
      </c>
      <c r="B34" s="3"/>
      <c r="C34" s="3"/>
      <c r="D34" s="3"/>
      <c r="E34" s="3"/>
      <c r="F34" s="3"/>
    </row>
    <row r="35" customFormat="false" ht="25.5" hidden="false" customHeight="true" outlineLevel="0" collapsed="false">
      <c r="A35" s="20" t="s">
        <v>169</v>
      </c>
      <c r="B35" s="31" t="n">
        <f aca="false">5_Nos_chiffres!$C$5*B31+5_Nos_chiffres!$C$7</f>
        <v>413.13706341098</v>
      </c>
      <c r="F35" s="30" t="s">
        <v>170</v>
      </c>
    </row>
    <row r="36" customFormat="false" ht="15" hidden="false" customHeight="false" outlineLevel="0" collapsed="false">
      <c r="A36" s="20" t="s">
        <v>171</v>
      </c>
      <c r="B36" s="31" t="n">
        <f aca="false">5_Nos_chiffres!$C$6*B32+5_Nos_chiffres!$C$8</f>
        <v>304.339399311502</v>
      </c>
    </row>
    <row r="37" customFormat="false" ht="15" hidden="false" customHeight="false" outlineLevel="0" collapsed="false">
      <c r="A37" s="14" t="s">
        <v>172</v>
      </c>
      <c r="B37" s="14" t="str">
        <f aca="false">IF(AND(B35&gt;=0,B35&lt;=640,B36&gt;=0,B36&lt;=480),"oui","hors cadre")</f>
        <v>oui</v>
      </c>
    </row>
    <row r="39" customFormat="false" ht="19.5" hidden="false" customHeight="true" outlineLevel="0" collapsed="false">
      <c r="A39" s="3" t="s">
        <v>173</v>
      </c>
      <c r="B39" s="3"/>
      <c r="C39" s="3"/>
      <c r="D39" s="3"/>
      <c r="E39" s="3"/>
      <c r="F39" s="3"/>
    </row>
    <row r="40" customFormat="false" ht="42" hidden="false" customHeight="true" outlineLevel="0" collapsed="false">
      <c r="A40" s="4" t="s">
        <v>174</v>
      </c>
      <c r="B40" s="4"/>
      <c r="C40" s="4"/>
      <c r="D40" s="4"/>
      <c r="E40" s="4"/>
      <c r="F40" s="4"/>
    </row>
    <row r="41" customFormat="false" ht="24" hidden="false" customHeight="true" outlineLevel="0" collapsed="false">
      <c r="A41" s="5" t="s">
        <v>175</v>
      </c>
      <c r="B41" s="5"/>
      <c r="C41" s="5"/>
      <c r="D41" s="5"/>
      <c r="E41" s="5"/>
      <c r="F41" s="5"/>
    </row>
    <row r="42" customFormat="false" ht="15" hidden="false" customHeight="false" outlineLevel="0" collapsed="false">
      <c r="A42" s="14" t="s">
        <v>176</v>
      </c>
      <c r="B42" s="23" t="n">
        <v>0.223</v>
      </c>
      <c r="F42" s="24" t="s">
        <v>177</v>
      </c>
    </row>
    <row r="43" customFormat="false" ht="15" hidden="false" customHeight="false" outlineLevel="0" collapsed="false">
      <c r="A43" s="14" t="s">
        <v>178</v>
      </c>
      <c r="B43" s="32" t="n">
        <v>136</v>
      </c>
    </row>
    <row r="44" customFormat="false" ht="45.75" hidden="false" customHeight="true" outlineLevel="0" collapsed="false">
      <c r="A44" s="20" t="s">
        <v>179</v>
      </c>
      <c r="B44" s="33" t="n">
        <f aca="false">5_Nos_chiffres!$C$5*B42/B43</f>
        <v>0.976918891911765</v>
      </c>
      <c r="F44" s="30" t="s">
        <v>180</v>
      </c>
    </row>
  </sheetData>
  <mergeCells count="11">
    <mergeCell ref="A1:F1"/>
    <mergeCell ref="A2:F2"/>
    <mergeCell ref="A4:F4"/>
    <mergeCell ref="A11:F11"/>
    <mergeCell ref="A16:F16"/>
    <mergeCell ref="A21:F21"/>
    <mergeCell ref="A25:F25"/>
    <mergeCell ref="A34:F34"/>
    <mergeCell ref="A39:F39"/>
    <mergeCell ref="A40:F40"/>
    <mergeCell ref="A41:F4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4"/>
    <col collapsed="false" customWidth="true" hidden="false" outlineLevel="0" max="4" min="4" style="0" width="16"/>
    <col collapsed="false" customWidth="true" hidden="false" outlineLevel="0" max="5" min="5" style="0" width="14"/>
    <col collapsed="false" customWidth="true" hidden="false" outlineLevel="0" max="6" min="6" style="0" width="22"/>
    <col collapsed="false" customWidth="true" hidden="false" outlineLevel="0" max="8" min="7" style="0" width="12"/>
  </cols>
  <sheetData>
    <row r="1" customFormat="false" ht="30" hidden="false" customHeight="true" outlineLevel="0" collapsed="false">
      <c r="A1" s="1" t="s">
        <v>181</v>
      </c>
      <c r="B1" s="1"/>
      <c r="C1" s="1"/>
      <c r="D1" s="1"/>
      <c r="E1" s="1"/>
      <c r="F1" s="1"/>
    </row>
    <row r="2" customFormat="false" ht="24" hidden="false" customHeight="true" outlineLevel="0" collapsed="false">
      <c r="A2" s="2" t="s">
        <v>182</v>
      </c>
      <c r="B2" s="2"/>
      <c r="C2" s="2"/>
      <c r="D2" s="2"/>
      <c r="E2" s="2"/>
      <c r="F2" s="2"/>
    </row>
    <row r="4" customFormat="false" ht="19.5" hidden="false" customHeight="true" outlineLevel="0" collapsed="false">
      <c r="A4" s="3" t="s">
        <v>183</v>
      </c>
      <c r="B4" s="3"/>
      <c r="C4" s="3"/>
      <c r="D4" s="3"/>
      <c r="E4" s="3"/>
      <c r="F4" s="3"/>
    </row>
    <row r="5" customFormat="false" ht="45.75" hidden="false" customHeight="true" outlineLevel="0" collapsed="false">
      <c r="A5" s="4" t="s">
        <v>184</v>
      </c>
      <c r="B5" s="4"/>
      <c r="C5" s="4"/>
      <c r="D5" s="4"/>
      <c r="E5" s="4"/>
      <c r="F5" s="4"/>
    </row>
    <row r="7" customFormat="false" ht="19.5" hidden="false" customHeight="true" outlineLevel="0" collapsed="false">
      <c r="A7" s="3" t="s">
        <v>185</v>
      </c>
      <c r="B7" s="3"/>
      <c r="C7" s="3"/>
      <c r="D7" s="3"/>
      <c r="E7" s="3"/>
      <c r="F7" s="3"/>
    </row>
    <row r="8" customFormat="false" ht="24" hidden="false" customHeight="true" outlineLevel="0" collapsed="false">
      <c r="A8" s="5" t="s">
        <v>186</v>
      </c>
      <c r="B8" s="5"/>
      <c r="C8" s="5"/>
      <c r="D8" s="5"/>
      <c r="E8" s="5"/>
      <c r="F8" s="5"/>
    </row>
    <row r="9" customFormat="false" ht="24" hidden="false" customHeight="true" outlineLevel="0" collapsed="false">
      <c r="A9" s="5" t="s">
        <v>187</v>
      </c>
      <c r="B9" s="5"/>
      <c r="C9" s="5"/>
      <c r="D9" s="5"/>
      <c r="E9" s="5"/>
      <c r="F9" s="5"/>
    </row>
    <row r="10" customFormat="false" ht="42" hidden="false" customHeight="true" outlineLevel="0" collapsed="false">
      <c r="A10" s="4" t="s">
        <v>188</v>
      </c>
      <c r="B10" s="4"/>
      <c r="C10" s="4"/>
      <c r="D10" s="4"/>
      <c r="E10" s="4"/>
      <c r="F10" s="4"/>
    </row>
    <row r="11" customFormat="false" ht="42" hidden="false" customHeight="true" outlineLevel="0" collapsed="false">
      <c r="A11" s="4" t="s">
        <v>189</v>
      </c>
      <c r="B11" s="4"/>
      <c r="C11" s="4"/>
      <c r="D11" s="4"/>
      <c r="E11" s="4"/>
      <c r="F11" s="4"/>
    </row>
    <row r="13" customFormat="false" ht="19.5" hidden="false" customHeight="true" outlineLevel="0" collapsed="false">
      <c r="A13" s="3" t="s">
        <v>190</v>
      </c>
      <c r="B13" s="3"/>
      <c r="C13" s="3"/>
      <c r="D13" s="3"/>
      <c r="E13" s="3"/>
      <c r="F13" s="3"/>
    </row>
    <row r="14" customFormat="false" ht="15" hidden="false" customHeight="false" outlineLevel="0" collapsed="false">
      <c r="A14" s="6" t="s">
        <v>191</v>
      </c>
      <c r="B14" s="6" t="s">
        <v>192</v>
      </c>
      <c r="C14" s="6" t="s">
        <v>193</v>
      </c>
      <c r="D14" s="6" t="s">
        <v>194</v>
      </c>
    </row>
    <row r="15" customFormat="false" ht="15" hidden="false" customHeight="false" outlineLevel="0" collapsed="false">
      <c r="A15" s="20" t="s">
        <v>195</v>
      </c>
      <c r="B15" s="34" t="n">
        <f aca="false">5_Nos_chiffres!C9</f>
        <v>-0.004641</v>
      </c>
      <c r="C15" s="14" t="s">
        <v>196</v>
      </c>
      <c r="D15" s="14" t="s">
        <v>197</v>
      </c>
    </row>
    <row r="16" customFormat="false" ht="15" hidden="false" customHeight="false" outlineLevel="0" collapsed="false">
      <c r="A16" s="20" t="s">
        <v>198</v>
      </c>
      <c r="B16" s="34" t="n">
        <f aca="false">5_Nos_chiffres!C10</f>
        <v>1.047342</v>
      </c>
      <c r="C16" s="14" t="s">
        <v>199</v>
      </c>
      <c r="D16" s="14" t="s">
        <v>200</v>
      </c>
    </row>
    <row r="17" customFormat="false" ht="15" hidden="false" customHeight="false" outlineLevel="0" collapsed="false">
      <c r="A17" s="20" t="s">
        <v>201</v>
      </c>
      <c r="B17" s="34" t="n">
        <f aca="false">5_Nos_chiffres!C11</f>
        <v>0.008001</v>
      </c>
      <c r="C17" s="14" t="s">
        <v>202</v>
      </c>
      <c r="D17" s="14" t="s">
        <v>203</v>
      </c>
    </row>
    <row r="18" customFormat="false" ht="15" hidden="false" customHeight="false" outlineLevel="0" collapsed="false">
      <c r="A18" s="20" t="s">
        <v>204</v>
      </c>
      <c r="B18" s="34" t="n">
        <f aca="false">5_Nos_chiffres!C12</f>
        <v>0.002722</v>
      </c>
      <c r="C18" s="14" t="s">
        <v>202</v>
      </c>
      <c r="D18" s="14" t="s">
        <v>203</v>
      </c>
    </row>
    <row r="19" customFormat="false" ht="15" hidden="false" customHeight="false" outlineLevel="0" collapsed="false">
      <c r="A19" s="20" t="s">
        <v>205</v>
      </c>
      <c r="B19" s="34" t="n">
        <f aca="false">5_Nos_chiffres!C13</f>
        <v>-3.430226</v>
      </c>
      <c r="C19" s="14" t="s">
        <v>206</v>
      </c>
      <c r="D19" s="14" t="s">
        <v>207</v>
      </c>
    </row>
    <row r="21" customFormat="false" ht="19.5" hidden="false" customHeight="true" outlineLevel="0" collapsed="false">
      <c r="A21" s="3" t="s">
        <v>208</v>
      </c>
      <c r="B21" s="3"/>
      <c r="C21" s="3"/>
      <c r="D21" s="3"/>
      <c r="E21" s="3"/>
      <c r="F21" s="3"/>
    </row>
    <row r="22" customFormat="false" ht="27.75" hidden="false" customHeight="true" outlineLevel="0" collapsed="false">
      <c r="A22" s="4" t="s">
        <v>209</v>
      </c>
      <c r="B22" s="4"/>
      <c r="C22" s="4"/>
      <c r="D22" s="4"/>
      <c r="E22" s="4"/>
      <c r="F22" s="4"/>
    </row>
    <row r="23" customFormat="false" ht="15" hidden="false" customHeight="false" outlineLevel="0" collapsed="false">
      <c r="A23" s="6" t="s">
        <v>210</v>
      </c>
      <c r="B23" s="6" t="s">
        <v>104</v>
      </c>
      <c r="C23" s="6" t="s">
        <v>211</v>
      </c>
    </row>
    <row r="24" customFormat="false" ht="15" hidden="false" customHeight="false" outlineLevel="0" collapsed="false">
      <c r="A24" s="14" t="s">
        <v>212</v>
      </c>
      <c r="B24" s="28" t="n">
        <v>0</v>
      </c>
      <c r="C24" s="14" t="s">
        <v>213</v>
      </c>
    </row>
    <row r="25" customFormat="false" ht="15" hidden="false" customHeight="false" outlineLevel="0" collapsed="false">
      <c r="A25" s="14" t="s">
        <v>214</v>
      </c>
      <c r="B25" s="28" t="n">
        <f aca="false">(640-5_Nos_chiffres!C7)/5_Nos_chiffres!C5</f>
        <v>0.531249564652996</v>
      </c>
      <c r="C25" s="14" t="s">
        <v>215</v>
      </c>
    </row>
    <row r="26" customFormat="false" ht="15" hidden="false" customHeight="false" outlineLevel="0" collapsed="false">
      <c r="A26" s="14" t="s">
        <v>216</v>
      </c>
      <c r="B26" s="28" t="n">
        <f aca="false">SQRT((5_Nos_chiffres!C7/5_Nos_chiffres!C5)^2+(5_Nos_chiffres!C8/5_Nos_chiffres!C6)^2)</f>
        <v>0.689838418876338</v>
      </c>
      <c r="C26" s="14" t="s">
        <v>217</v>
      </c>
    </row>
    <row r="27" customFormat="false" ht="15" hidden="false" customHeight="false" outlineLevel="0" collapsed="false">
      <c r="A27" s="20" t="s">
        <v>218</v>
      </c>
      <c r="B27" s="35" t="n">
        <v>0.66</v>
      </c>
      <c r="C27" s="14" t="s">
        <v>219</v>
      </c>
      <c r="F27" s="30" t="s">
        <v>220</v>
      </c>
    </row>
    <row r="29" customFormat="false" ht="57.75" hidden="false" customHeight="true" outlineLevel="0" collapsed="false">
      <c r="A29" s="36" t="s">
        <v>221</v>
      </c>
      <c r="B29" s="36"/>
      <c r="C29" s="36"/>
      <c r="D29" s="36"/>
      <c r="E29" s="36"/>
      <c r="F29" s="36"/>
    </row>
    <row r="31" customFormat="false" ht="42" hidden="false" customHeight="true" outlineLevel="0" collapsed="false">
      <c r="A31" s="4" t="s">
        <v>222</v>
      </c>
      <c r="B31" s="4"/>
      <c r="C31" s="4"/>
      <c r="D31" s="4"/>
      <c r="E31" s="4"/>
      <c r="F31" s="4"/>
    </row>
    <row r="32" customFormat="false" ht="27.75" hidden="false" customHeight="true" outlineLevel="0" collapsed="false">
      <c r="A32" s="37" t="s">
        <v>223</v>
      </c>
      <c r="B32" s="37"/>
      <c r="C32" s="37"/>
      <c r="D32" s="37"/>
      <c r="E32" s="37"/>
      <c r="F32" s="37"/>
    </row>
  </sheetData>
  <mergeCells count="15">
    <mergeCell ref="A1:F1"/>
    <mergeCell ref="A2:F2"/>
    <mergeCell ref="A4:F4"/>
    <mergeCell ref="A5:F5"/>
    <mergeCell ref="A7:F7"/>
    <mergeCell ref="A8:F8"/>
    <mergeCell ref="A9:F9"/>
    <mergeCell ref="A10:F10"/>
    <mergeCell ref="A11:F11"/>
    <mergeCell ref="A13:F13"/>
    <mergeCell ref="A21:F21"/>
    <mergeCell ref="A22:F22"/>
    <mergeCell ref="A29:F29"/>
    <mergeCell ref="A31:F31"/>
    <mergeCell ref="A32:F32"/>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3" min="3" style="0" width="14"/>
    <col collapsed="false" customWidth="true" hidden="false" outlineLevel="0" max="4" min="4" style="0" width="20"/>
    <col collapsed="false" customWidth="true" hidden="false" outlineLevel="0" max="5" min="5" style="0" width="16"/>
    <col collapsed="false" customWidth="true" hidden="false" outlineLevel="0" max="6" min="6" style="0" width="32"/>
    <col collapsed="false" customWidth="true" hidden="false" outlineLevel="0" max="8" min="7" style="0" width="12"/>
  </cols>
  <sheetData>
    <row r="1" customFormat="false" ht="30" hidden="false" customHeight="true" outlineLevel="0" collapsed="false">
      <c r="A1" s="1" t="s">
        <v>224</v>
      </c>
      <c r="B1" s="1"/>
      <c r="C1" s="1"/>
      <c r="D1" s="1"/>
      <c r="E1" s="1"/>
      <c r="F1" s="1"/>
    </row>
    <row r="2" customFormat="false" ht="24" hidden="false" customHeight="true" outlineLevel="0" collapsed="false">
      <c r="A2" s="2" t="s">
        <v>225</v>
      </c>
      <c r="B2" s="2"/>
      <c r="C2" s="2"/>
      <c r="D2" s="2"/>
      <c r="E2" s="2"/>
      <c r="F2" s="2"/>
    </row>
    <row r="4" customFormat="false" ht="19.5" hidden="false" customHeight="true" outlineLevel="0" collapsed="false">
      <c r="A4" s="3" t="s">
        <v>226</v>
      </c>
      <c r="B4" s="3"/>
      <c r="C4" s="3"/>
      <c r="D4" s="3"/>
      <c r="E4" s="3"/>
      <c r="F4" s="3"/>
    </row>
    <row r="5" customFormat="false" ht="45.75" hidden="false" customHeight="true" outlineLevel="0" collapsed="false">
      <c r="A5" s="4" t="s">
        <v>227</v>
      </c>
      <c r="B5" s="4"/>
      <c r="C5" s="4"/>
      <c r="D5" s="4"/>
      <c r="E5" s="4"/>
      <c r="F5" s="4"/>
    </row>
    <row r="7" customFormat="false" ht="19.5" hidden="false" customHeight="true" outlineLevel="0" collapsed="false">
      <c r="A7" s="3" t="s">
        <v>228</v>
      </c>
      <c r="B7" s="3"/>
      <c r="C7" s="3"/>
      <c r="D7" s="3"/>
      <c r="E7" s="3"/>
      <c r="F7" s="3"/>
    </row>
    <row r="8" customFormat="false" ht="15" hidden="false" customHeight="false" outlineLevel="0" collapsed="false">
      <c r="A8" s="6"/>
      <c r="B8" s="6" t="s">
        <v>229</v>
      </c>
      <c r="C8" s="6" t="s">
        <v>230</v>
      </c>
    </row>
    <row r="9" customFormat="false" ht="24" hidden="false" customHeight="true" outlineLevel="0" collapsed="false">
      <c r="A9" s="20" t="s">
        <v>231</v>
      </c>
      <c r="B9" s="7" t="s">
        <v>232</v>
      </c>
      <c r="C9" s="9" t="s">
        <v>233</v>
      </c>
      <c r="D9" s="9"/>
      <c r="E9" s="9"/>
      <c r="F9" s="9"/>
    </row>
    <row r="10" customFormat="false" ht="24" hidden="false" customHeight="true" outlineLevel="0" collapsed="false">
      <c r="A10" s="20" t="s">
        <v>234</v>
      </c>
      <c r="B10" s="7" t="s">
        <v>235</v>
      </c>
      <c r="C10" s="9" t="s">
        <v>236</v>
      </c>
      <c r="D10" s="9"/>
      <c r="E10" s="9"/>
      <c r="F10" s="9"/>
    </row>
    <row r="11" customFormat="false" ht="24" hidden="false" customHeight="true" outlineLevel="0" collapsed="false">
      <c r="A11" s="20" t="s">
        <v>237</v>
      </c>
      <c r="B11" s="7" t="s">
        <v>238</v>
      </c>
      <c r="C11" s="9" t="s">
        <v>239</v>
      </c>
      <c r="D11" s="9"/>
      <c r="E11" s="9"/>
      <c r="F11" s="9"/>
    </row>
    <row r="12" customFormat="false" ht="24" hidden="false" customHeight="true" outlineLevel="0" collapsed="false">
      <c r="A12" s="20" t="s">
        <v>240</v>
      </c>
      <c r="B12" s="7" t="s">
        <v>241</v>
      </c>
      <c r="C12" s="9" t="s">
        <v>242</v>
      </c>
      <c r="D12" s="9"/>
      <c r="E12" s="9"/>
      <c r="F12" s="9"/>
    </row>
    <row r="14" customFormat="false" ht="19.5" hidden="false" customHeight="true" outlineLevel="0" collapsed="false">
      <c r="A14" s="3" t="s">
        <v>243</v>
      </c>
      <c r="B14" s="3"/>
      <c r="C14" s="3"/>
      <c r="D14" s="3"/>
      <c r="E14" s="3"/>
      <c r="F14" s="3"/>
    </row>
    <row r="15" customFormat="false" ht="27.75" hidden="false" customHeight="true" outlineLevel="0" collapsed="false">
      <c r="A15" s="4" t="s">
        <v>244</v>
      </c>
      <c r="B15" s="4"/>
      <c r="C15" s="4"/>
      <c r="D15" s="4"/>
      <c r="E15" s="4"/>
      <c r="F15" s="4"/>
    </row>
    <row r="16" customFormat="false" ht="24" hidden="false" customHeight="true" outlineLevel="0" collapsed="false">
      <c r="A16" s="5" t="s">
        <v>245</v>
      </c>
      <c r="B16" s="5"/>
      <c r="C16" s="5"/>
      <c r="D16" s="5"/>
      <c r="E16" s="5"/>
      <c r="F16" s="5"/>
    </row>
    <row r="17" customFormat="false" ht="42" hidden="false" customHeight="true" outlineLevel="0" collapsed="false">
      <c r="A17" s="4" t="s">
        <v>246</v>
      </c>
      <c r="B17" s="4"/>
      <c r="C17" s="4"/>
      <c r="D17" s="4"/>
      <c r="E17" s="4"/>
      <c r="F17" s="4"/>
    </row>
    <row r="19" customFormat="false" ht="19.5" hidden="false" customHeight="true" outlineLevel="0" collapsed="false">
      <c r="A19" s="3" t="s">
        <v>247</v>
      </c>
      <c r="B19" s="3"/>
      <c r="C19" s="3"/>
      <c r="D19" s="3"/>
      <c r="E19" s="3"/>
      <c r="F19" s="3"/>
    </row>
    <row r="20" customFormat="false" ht="15" hidden="false" customHeight="false" outlineLevel="0" collapsed="false">
      <c r="A20" s="6"/>
      <c r="B20" s="6" t="s">
        <v>229</v>
      </c>
      <c r="C20" s="6" t="s">
        <v>192</v>
      </c>
      <c r="D20" s="6" t="s">
        <v>248</v>
      </c>
    </row>
    <row r="21" customFormat="false" ht="15" hidden="false" customHeight="true" outlineLevel="0" collapsed="false">
      <c r="B21" s="14" t="s">
        <v>63</v>
      </c>
      <c r="C21" s="19" t="n">
        <v>31</v>
      </c>
      <c r="D21" s="9" t="s">
        <v>249</v>
      </c>
      <c r="E21" s="9"/>
      <c r="F21" s="9"/>
    </row>
    <row r="22" customFormat="false" ht="15" hidden="false" customHeight="true" outlineLevel="0" collapsed="false">
      <c r="B22" s="14" t="s">
        <v>250</v>
      </c>
      <c r="C22" s="19" t="n">
        <v>24</v>
      </c>
      <c r="D22" s="9" t="s">
        <v>251</v>
      </c>
      <c r="E22" s="9"/>
      <c r="F22" s="9"/>
    </row>
    <row r="23" customFormat="false" ht="15" hidden="false" customHeight="true" outlineLevel="0" collapsed="false">
      <c r="B23" s="14" t="s">
        <v>252</v>
      </c>
      <c r="C23" s="38" t="n">
        <f aca="false">C21*C22*2</f>
        <v>1488</v>
      </c>
      <c r="D23" s="9" t="s">
        <v>253</v>
      </c>
      <c r="E23" s="9"/>
      <c r="F23" s="9"/>
    </row>
    <row r="24" customFormat="false" ht="15" hidden="false" customHeight="true" outlineLevel="0" collapsed="false">
      <c r="B24" s="14" t="s">
        <v>254</v>
      </c>
      <c r="C24" s="38" t="n">
        <f aca="false">9+6*C21</f>
        <v>195</v>
      </c>
      <c r="D24" s="9" t="s">
        <v>255</v>
      </c>
      <c r="E24" s="9"/>
      <c r="F24" s="9"/>
    </row>
    <row r="25" customFormat="false" ht="15" hidden="false" customHeight="true" outlineLevel="0" collapsed="false">
      <c r="B25" s="14" t="s">
        <v>256</v>
      </c>
      <c r="C25" s="39" t="n">
        <f aca="false">C23/C24</f>
        <v>7.63076923076923</v>
      </c>
      <c r="D25" s="9" t="s">
        <v>257</v>
      </c>
      <c r="E25" s="9"/>
      <c r="F25" s="9"/>
    </row>
    <row r="26" customFormat="false" ht="25.5" hidden="false" customHeight="true" outlineLevel="0" collapsed="false">
      <c r="B26" s="20" t="s">
        <v>258</v>
      </c>
      <c r="C26" s="40" t="n">
        <v>0.4445</v>
      </c>
      <c r="D26" s="9" t="s">
        <v>259</v>
      </c>
      <c r="E26" s="9"/>
      <c r="F26" s="9"/>
    </row>
    <row r="27" customFormat="false" ht="42" hidden="false" customHeight="true" outlineLevel="0" collapsed="false">
      <c r="A27" s="26" t="s">
        <v>260</v>
      </c>
      <c r="B27" s="26"/>
      <c r="C27" s="26"/>
      <c r="D27" s="26"/>
      <c r="E27" s="26"/>
      <c r="F27" s="26"/>
    </row>
    <row r="29" customFormat="false" ht="19.5" hidden="false" customHeight="true" outlineLevel="0" collapsed="false">
      <c r="A29" s="3" t="s">
        <v>261</v>
      </c>
      <c r="B29" s="3"/>
      <c r="C29" s="3"/>
      <c r="D29" s="3"/>
      <c r="E29" s="3"/>
      <c r="F29" s="3"/>
    </row>
    <row r="30" customFormat="false" ht="27.75" hidden="false" customHeight="true" outlineLevel="0" collapsed="false">
      <c r="A30" s="4" t="s">
        <v>262</v>
      </c>
      <c r="B30" s="4"/>
      <c r="C30" s="4"/>
      <c r="D30" s="4"/>
      <c r="E30" s="4"/>
      <c r="F30" s="4"/>
    </row>
    <row r="31" customFormat="false" ht="15" hidden="false" customHeight="false" outlineLevel="0" collapsed="false">
      <c r="A31" s="6"/>
      <c r="B31" s="6" t="s">
        <v>9</v>
      </c>
      <c r="C31" s="6" t="s">
        <v>263</v>
      </c>
    </row>
    <row r="32" customFormat="false" ht="39.75" hidden="false" customHeight="true" outlineLevel="0" collapsed="false">
      <c r="A32" s="41" t="s">
        <v>264</v>
      </c>
      <c r="B32" s="7" t="s">
        <v>265</v>
      </c>
      <c r="C32" s="9" t="s">
        <v>266</v>
      </c>
      <c r="D32" s="9"/>
      <c r="E32" s="9"/>
      <c r="F32" s="9"/>
    </row>
    <row r="33" customFormat="false" ht="39.75" hidden="false" customHeight="true" outlineLevel="0" collapsed="false">
      <c r="A33" s="41" t="s">
        <v>267</v>
      </c>
      <c r="B33" s="7" t="s">
        <v>268</v>
      </c>
      <c r="C33" s="9" t="s">
        <v>269</v>
      </c>
      <c r="D33" s="9"/>
      <c r="E33" s="9"/>
      <c r="F33" s="9"/>
    </row>
    <row r="34" customFormat="false" ht="39.75" hidden="false" customHeight="true" outlineLevel="0" collapsed="false">
      <c r="A34" s="41" t="s">
        <v>270</v>
      </c>
      <c r="B34" s="7" t="s">
        <v>271</v>
      </c>
      <c r="C34" s="9" t="s">
        <v>272</v>
      </c>
      <c r="D34" s="9"/>
      <c r="E34" s="9"/>
      <c r="F34" s="9"/>
    </row>
    <row r="35" customFormat="false" ht="39.75" hidden="false" customHeight="true" outlineLevel="0" collapsed="false">
      <c r="A35" s="41" t="s">
        <v>273</v>
      </c>
      <c r="B35" s="7" t="s">
        <v>274</v>
      </c>
      <c r="C35" s="9" t="s">
        <v>275</v>
      </c>
      <c r="D35" s="9"/>
      <c r="E35" s="9"/>
      <c r="F35" s="9"/>
    </row>
    <row r="37" customFormat="false" ht="19.5" hidden="false" customHeight="true" outlineLevel="0" collapsed="false">
      <c r="A37" s="3" t="s">
        <v>276</v>
      </c>
      <c r="B37" s="3"/>
      <c r="C37" s="3"/>
      <c r="D37" s="3"/>
      <c r="E37" s="3"/>
      <c r="F37" s="3"/>
    </row>
    <row r="38" customFormat="false" ht="45.75" hidden="false" customHeight="true" outlineLevel="0" collapsed="false">
      <c r="A38" s="4" t="s">
        <v>277</v>
      </c>
      <c r="B38" s="4"/>
      <c r="C38" s="4"/>
      <c r="D38" s="4"/>
      <c r="E38" s="4"/>
      <c r="F38" s="4"/>
    </row>
  </sheetData>
  <mergeCells count="29">
    <mergeCell ref="A1:F1"/>
    <mergeCell ref="A2:F2"/>
    <mergeCell ref="A4:F4"/>
    <mergeCell ref="A5:F5"/>
    <mergeCell ref="A7:F7"/>
    <mergeCell ref="C9:F9"/>
    <mergeCell ref="C10:F10"/>
    <mergeCell ref="C11:F11"/>
    <mergeCell ref="C12:F12"/>
    <mergeCell ref="A14:F14"/>
    <mergeCell ref="A15:F15"/>
    <mergeCell ref="A16:F16"/>
    <mergeCell ref="A17:F17"/>
    <mergeCell ref="A19:F19"/>
    <mergeCell ref="D21:F21"/>
    <mergeCell ref="D22:F22"/>
    <mergeCell ref="D23:F23"/>
    <mergeCell ref="D24:F24"/>
    <mergeCell ref="D25:F25"/>
    <mergeCell ref="D26:F26"/>
    <mergeCell ref="A27:F27"/>
    <mergeCell ref="A29:F29"/>
    <mergeCell ref="A30:F30"/>
    <mergeCell ref="C32:F32"/>
    <mergeCell ref="C33:F33"/>
    <mergeCell ref="C34:F34"/>
    <mergeCell ref="C35:F35"/>
    <mergeCell ref="A37:F37"/>
    <mergeCell ref="A38:F38"/>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3" min="2" style="0" width="20"/>
    <col collapsed="false" customWidth="true" hidden="false" outlineLevel="0" max="4" min="4" style="0" width="14"/>
    <col collapsed="false" customWidth="true" hidden="false" outlineLevel="0" max="5" min="5" style="0" width="4"/>
    <col collapsed="false" customWidth="true" hidden="false" outlineLevel="0" max="6" min="6" style="0" width="30"/>
    <col collapsed="false" customWidth="true" hidden="false" outlineLevel="0" max="8" min="7" style="0" width="14"/>
  </cols>
  <sheetData>
    <row r="1" customFormat="false" ht="30" hidden="false" customHeight="true" outlineLevel="0" collapsed="false">
      <c r="A1" s="1" t="s">
        <v>278</v>
      </c>
      <c r="B1" s="1"/>
      <c r="C1" s="1"/>
      <c r="D1" s="1"/>
      <c r="E1" s="1"/>
      <c r="F1" s="1"/>
      <c r="G1" s="1"/>
      <c r="H1" s="1"/>
    </row>
    <row r="2" customFormat="false" ht="24" hidden="false" customHeight="true" outlineLevel="0" collapsed="false">
      <c r="A2" s="2" t="s">
        <v>279</v>
      </c>
      <c r="B2" s="2"/>
      <c r="C2" s="2"/>
      <c r="D2" s="2"/>
      <c r="E2" s="2"/>
      <c r="F2" s="2"/>
      <c r="G2" s="2"/>
      <c r="H2" s="2"/>
    </row>
    <row r="3" customFormat="false" ht="19.5" hidden="false" customHeight="true" outlineLevel="0" collapsed="false">
      <c r="A3" s="3" t="s">
        <v>280</v>
      </c>
      <c r="B3" s="3"/>
      <c r="C3" s="3"/>
      <c r="D3" s="3"/>
      <c r="E3" s="3"/>
      <c r="F3" s="3"/>
      <c r="G3" s="3"/>
      <c r="H3" s="3"/>
    </row>
    <row r="4" customFormat="false" ht="15" hidden="false" customHeight="false" outlineLevel="0" collapsed="false">
      <c r="A4" s="6" t="s">
        <v>281</v>
      </c>
      <c r="B4" s="6" t="s">
        <v>282</v>
      </c>
      <c r="C4" s="6" t="s">
        <v>283</v>
      </c>
      <c r="D4" s="6" t="s">
        <v>284</v>
      </c>
      <c r="E4" s="6"/>
      <c r="F4" s="6" t="s">
        <v>285</v>
      </c>
    </row>
    <row r="5" customFormat="false" ht="15" hidden="false" customHeight="true" outlineLevel="0" collapsed="false">
      <c r="A5" s="20" t="s">
        <v>286</v>
      </c>
      <c r="B5" s="27" t="n">
        <v>604.1876</v>
      </c>
      <c r="C5" s="27" t="n">
        <v>595.7891</v>
      </c>
      <c r="D5" s="28" t="n">
        <f aca="false">C5-B5</f>
        <v>-8.39850000000001</v>
      </c>
      <c r="F5" s="9" t="s">
        <v>287</v>
      </c>
      <c r="G5" s="9"/>
      <c r="H5" s="9"/>
    </row>
    <row r="6" customFormat="false" ht="15" hidden="false" customHeight="true" outlineLevel="0" collapsed="false">
      <c r="A6" s="20" t="s">
        <v>288</v>
      </c>
      <c r="B6" s="27" t="n">
        <v>602.3668</v>
      </c>
      <c r="C6" s="27" t="n">
        <v>607.521</v>
      </c>
      <c r="D6" s="28" t="n">
        <f aca="false">C6-B6</f>
        <v>5.15419999999995</v>
      </c>
      <c r="F6" s="9" t="s">
        <v>289</v>
      </c>
      <c r="G6" s="9"/>
      <c r="H6" s="9"/>
    </row>
    <row r="7" customFormat="false" ht="15" hidden="false" customHeight="true" outlineLevel="0" collapsed="false">
      <c r="A7" s="20" t="s">
        <v>290</v>
      </c>
      <c r="B7" s="27" t="n">
        <v>326.1973</v>
      </c>
      <c r="C7" s="27" t="n">
        <v>323.4873</v>
      </c>
      <c r="D7" s="28" t="n">
        <f aca="false">C7-B7</f>
        <v>-2.70999999999998</v>
      </c>
      <c r="F7" s="9" t="s">
        <v>291</v>
      </c>
      <c r="G7" s="9"/>
      <c r="H7" s="9"/>
    </row>
    <row r="8" customFormat="false" ht="15" hidden="false" customHeight="true" outlineLevel="0" collapsed="false">
      <c r="A8" s="20" t="s">
        <v>292</v>
      </c>
      <c r="B8" s="27" t="n">
        <v>242.885</v>
      </c>
      <c r="C8" s="27" t="n">
        <v>258.5184</v>
      </c>
      <c r="D8" s="28" t="n">
        <f aca="false">C8-B8</f>
        <v>15.6334</v>
      </c>
      <c r="F8" s="9" t="s">
        <v>293</v>
      </c>
      <c r="G8" s="9"/>
      <c r="H8" s="9"/>
    </row>
    <row r="9" customFormat="false" ht="15" hidden="false" customHeight="true" outlineLevel="0" collapsed="false">
      <c r="A9" s="20" t="s">
        <v>195</v>
      </c>
      <c r="B9" s="42" t="n">
        <v>0.013835</v>
      </c>
      <c r="C9" s="42" t="n">
        <v>-0.004641</v>
      </c>
      <c r="D9" s="29" t="n">
        <f aca="false">C9-B9</f>
        <v>-0.018476</v>
      </c>
      <c r="F9" s="9" t="s">
        <v>294</v>
      </c>
      <c r="G9" s="9"/>
      <c r="H9" s="9"/>
    </row>
    <row r="10" customFormat="false" ht="15" hidden="false" customHeight="true" outlineLevel="0" collapsed="false">
      <c r="A10" s="20" t="s">
        <v>198</v>
      </c>
      <c r="B10" s="42" t="n">
        <v>0.733706</v>
      </c>
      <c r="C10" s="42" t="n">
        <v>1.047342</v>
      </c>
      <c r="D10" s="29" t="n">
        <f aca="false">C10-B10</f>
        <v>0.313636</v>
      </c>
      <c r="F10" s="9" t="s">
        <v>295</v>
      </c>
      <c r="G10" s="9"/>
      <c r="H10" s="9"/>
    </row>
    <row r="11" customFormat="false" ht="15" hidden="false" customHeight="true" outlineLevel="0" collapsed="false">
      <c r="A11" s="20" t="s">
        <v>201</v>
      </c>
      <c r="B11" s="42" t="n">
        <v>-0.002333</v>
      </c>
      <c r="C11" s="42" t="n">
        <v>0.008001</v>
      </c>
      <c r="D11" s="29" t="n">
        <f aca="false">C11-B11</f>
        <v>0.010334</v>
      </c>
      <c r="F11" s="9" t="s">
        <v>202</v>
      </c>
      <c r="G11" s="9"/>
      <c r="H11" s="9"/>
    </row>
    <row r="12" customFormat="false" ht="15" hidden="false" customHeight="true" outlineLevel="0" collapsed="false">
      <c r="A12" s="20" t="s">
        <v>204</v>
      </c>
      <c r="B12" s="42" t="n">
        <v>0.001136</v>
      </c>
      <c r="C12" s="42" t="n">
        <v>0.002722</v>
      </c>
      <c r="D12" s="29" t="n">
        <f aca="false">C12-B12</f>
        <v>0.001586</v>
      </c>
      <c r="F12" s="9" t="s">
        <v>202</v>
      </c>
      <c r="G12" s="9"/>
      <c r="H12" s="9"/>
    </row>
    <row r="13" customFormat="false" ht="15" hidden="false" customHeight="true" outlineLevel="0" collapsed="false">
      <c r="A13" s="20" t="s">
        <v>205</v>
      </c>
      <c r="B13" s="42" t="n">
        <v>-2.707687</v>
      </c>
      <c r="C13" s="42" t="n">
        <v>-3.430226</v>
      </c>
      <c r="D13" s="29" t="n">
        <f aca="false">C13-B13</f>
        <v>-0.722539</v>
      </c>
      <c r="F13" s="9" t="s">
        <v>296</v>
      </c>
      <c r="G13" s="9"/>
      <c r="H13" s="9"/>
    </row>
    <row r="15" customFormat="false" ht="27.75" hidden="false" customHeight="true" outlineLevel="0" collapsed="false">
      <c r="A15" s="22" t="s">
        <v>51</v>
      </c>
      <c r="B15" s="43" t="s">
        <v>297</v>
      </c>
      <c r="C15" s="43"/>
      <c r="D15" s="43"/>
      <c r="E15" s="43"/>
      <c r="F15" s="43"/>
      <c r="G15" s="43"/>
      <c r="H15" s="43"/>
    </row>
    <row r="17" customFormat="false" ht="19.5" hidden="false" customHeight="true" outlineLevel="0" collapsed="false">
      <c r="A17" s="3" t="s">
        <v>298</v>
      </c>
      <c r="B17" s="3"/>
      <c r="C17" s="3"/>
      <c r="D17" s="3"/>
      <c r="E17" s="3"/>
      <c r="F17" s="3"/>
      <c r="G17" s="3"/>
      <c r="H17" s="3"/>
    </row>
    <row r="18" customFormat="false" ht="45.75" hidden="false" customHeight="true" outlineLevel="0" collapsed="false">
      <c r="A18" s="4" t="s">
        <v>299</v>
      </c>
      <c r="B18" s="4"/>
      <c r="C18" s="4"/>
      <c r="D18" s="4"/>
      <c r="E18" s="4"/>
      <c r="F18" s="4"/>
      <c r="G18" s="4"/>
      <c r="H18" s="4"/>
    </row>
    <row r="19" customFormat="false" ht="45.75" hidden="false" customHeight="true" outlineLevel="0" collapsed="false">
      <c r="A19" s="4" t="s">
        <v>300</v>
      </c>
      <c r="B19" s="4"/>
      <c r="C19" s="4"/>
      <c r="D19" s="4"/>
      <c r="E19" s="4"/>
      <c r="F19" s="4"/>
      <c r="G19" s="4"/>
      <c r="H19" s="4"/>
    </row>
    <row r="20" customFormat="false" ht="45.75" hidden="false" customHeight="true" outlineLevel="0" collapsed="false">
      <c r="A20" s="37" t="s">
        <v>301</v>
      </c>
      <c r="B20" s="37"/>
      <c r="C20" s="37"/>
      <c r="D20" s="37"/>
      <c r="E20" s="37"/>
      <c r="F20" s="37"/>
      <c r="G20" s="37"/>
      <c r="H20" s="37"/>
    </row>
    <row r="21" customFormat="false" ht="45.75" hidden="false" customHeight="true" outlineLevel="0" collapsed="false">
      <c r="A21" s="4" t="s">
        <v>302</v>
      </c>
      <c r="B21" s="4"/>
      <c r="C21" s="4"/>
      <c r="D21" s="4"/>
      <c r="E21" s="4"/>
      <c r="F21" s="4"/>
      <c r="G21" s="4"/>
      <c r="H21" s="4"/>
    </row>
    <row r="23" customFormat="false" ht="19.5" hidden="false" customHeight="true" outlineLevel="0" collapsed="false">
      <c r="A23" s="3" t="s">
        <v>303</v>
      </c>
      <c r="B23" s="3"/>
      <c r="C23" s="3"/>
      <c r="D23" s="3"/>
      <c r="E23" s="3"/>
      <c r="F23" s="3"/>
      <c r="G23" s="3"/>
      <c r="H23" s="3"/>
    </row>
    <row r="24" customFormat="false" ht="27.75" hidden="false" customHeight="true" outlineLevel="0" collapsed="false">
      <c r="A24" s="4" t="s">
        <v>304</v>
      </c>
      <c r="B24" s="4"/>
      <c r="C24" s="4"/>
      <c r="D24" s="4"/>
      <c r="E24" s="4"/>
      <c r="F24" s="4"/>
      <c r="G24" s="4"/>
      <c r="H24" s="4"/>
    </row>
    <row r="25" customFormat="false" ht="15" hidden="false" customHeight="false" outlineLevel="0" collapsed="false">
      <c r="A25" s="6" t="s">
        <v>305</v>
      </c>
      <c r="B25" s="6" t="s">
        <v>306</v>
      </c>
      <c r="C25" s="6" t="s">
        <v>307</v>
      </c>
    </row>
    <row r="26" customFormat="false" ht="15" hidden="false" customHeight="false" outlineLevel="0" collapsed="false">
      <c r="A26" s="14" t="s">
        <v>308</v>
      </c>
      <c r="B26" s="23" t="n">
        <v>1.062</v>
      </c>
      <c r="C26" s="44" t="n">
        <f aca="false">B26-1</f>
        <v>0.0620000000000001</v>
      </c>
    </row>
    <row r="27" customFormat="false" ht="15" hidden="false" customHeight="false" outlineLevel="0" collapsed="false">
      <c r="A27" s="14" t="s">
        <v>309</v>
      </c>
      <c r="B27" s="23" t="n">
        <v>1.001</v>
      </c>
      <c r="C27" s="44" t="n">
        <f aca="false">B27-1</f>
        <v>0.00099999999999989</v>
      </c>
    </row>
    <row r="28" customFormat="false" ht="15" hidden="false" customHeight="false" outlineLevel="0" collapsed="false">
      <c r="A28" s="14" t="s">
        <v>310</v>
      </c>
      <c r="B28" s="23" t="n">
        <v>1</v>
      </c>
      <c r="C28" s="44" t="n">
        <f aca="false">B28-1</f>
        <v>0</v>
      </c>
    </row>
    <row r="30" customFormat="false" ht="43.5" hidden="false" customHeight="true" outlineLevel="0" collapsed="false">
      <c r="A30" s="36" t="s">
        <v>311</v>
      </c>
      <c r="B30" s="36"/>
      <c r="C30" s="36"/>
      <c r="D30" s="36"/>
      <c r="E30" s="36"/>
      <c r="F30" s="36"/>
      <c r="G30" s="36"/>
      <c r="H30" s="36"/>
    </row>
  </sheetData>
  <mergeCells count="21">
    <mergeCell ref="A1:H1"/>
    <mergeCell ref="A2:H2"/>
    <mergeCell ref="A3:H3"/>
    <mergeCell ref="F5:H5"/>
    <mergeCell ref="F6:H6"/>
    <mergeCell ref="F7:H7"/>
    <mergeCell ref="F8:H8"/>
    <mergeCell ref="F9:H9"/>
    <mergeCell ref="F10:H10"/>
    <mergeCell ref="F11:H11"/>
    <mergeCell ref="F12:H12"/>
    <mergeCell ref="F13:H13"/>
    <mergeCell ref="B15:H15"/>
    <mergeCell ref="A17:H17"/>
    <mergeCell ref="A18:H18"/>
    <mergeCell ref="A19:H19"/>
    <mergeCell ref="A20:H20"/>
    <mergeCell ref="A21:H21"/>
    <mergeCell ref="A23:H23"/>
    <mergeCell ref="A24:H24"/>
    <mergeCell ref="A30:H30"/>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14"/>
    <col collapsed="false" customWidth="true" hidden="false" outlineLevel="0" max="4" min="4" style="0" width="22"/>
    <col collapsed="false" customWidth="true" hidden="false" outlineLevel="0" max="5" min="5" style="0" width="14"/>
    <col collapsed="false" customWidth="true" hidden="false" outlineLevel="0" max="6" min="6" style="0" width="30"/>
    <col collapsed="false" customWidth="true" hidden="false" outlineLevel="0" max="8" min="7" style="0" width="12"/>
  </cols>
  <sheetData>
    <row r="1" customFormat="false" ht="30" hidden="false" customHeight="true" outlineLevel="0" collapsed="false">
      <c r="A1" s="1" t="s">
        <v>312</v>
      </c>
      <c r="B1" s="1"/>
      <c r="C1" s="1"/>
      <c r="D1" s="1"/>
      <c r="E1" s="1"/>
      <c r="F1" s="1"/>
    </row>
    <row r="2" customFormat="false" ht="24" hidden="false" customHeight="true" outlineLevel="0" collapsed="false">
      <c r="A2" s="2" t="s">
        <v>313</v>
      </c>
      <c r="B2" s="2"/>
      <c r="C2" s="2"/>
      <c r="D2" s="2"/>
      <c r="E2" s="2"/>
      <c r="F2" s="2"/>
    </row>
    <row r="4" customFormat="false" ht="19.5" hidden="false" customHeight="true" outlineLevel="0" collapsed="false">
      <c r="A4" s="3" t="s">
        <v>314</v>
      </c>
      <c r="B4" s="3"/>
      <c r="C4" s="3"/>
      <c r="D4" s="3"/>
      <c r="E4" s="3"/>
      <c r="F4" s="3"/>
    </row>
    <row r="5" customFormat="false" ht="45.75" hidden="false" customHeight="true" outlineLevel="0" collapsed="false">
      <c r="A5" s="4" t="s">
        <v>315</v>
      </c>
      <c r="B5" s="4"/>
      <c r="C5" s="4"/>
      <c r="D5" s="4"/>
      <c r="E5" s="4"/>
      <c r="F5" s="4"/>
    </row>
    <row r="7" customFormat="false" ht="24" hidden="false" customHeight="true" outlineLevel="0" collapsed="false">
      <c r="A7" s="5" t="s">
        <v>316</v>
      </c>
      <c r="B7" s="5"/>
      <c r="C7" s="5"/>
      <c r="D7" s="5"/>
      <c r="E7" s="5"/>
      <c r="F7" s="5"/>
    </row>
    <row r="9" customFormat="false" ht="19.5" hidden="false" customHeight="true" outlineLevel="0" collapsed="false">
      <c r="A9" s="3" t="s">
        <v>317</v>
      </c>
      <c r="B9" s="3"/>
      <c r="C9" s="3"/>
      <c r="D9" s="3"/>
      <c r="E9" s="3"/>
      <c r="F9" s="3"/>
    </row>
    <row r="10" customFormat="false" ht="15" hidden="false" customHeight="false" outlineLevel="0" collapsed="false">
      <c r="A10" s="6"/>
      <c r="B10" s="6" t="s">
        <v>318</v>
      </c>
      <c r="C10" s="6" t="s">
        <v>319</v>
      </c>
      <c r="D10" s="6" t="s">
        <v>320</v>
      </c>
    </row>
    <row r="11" customFormat="false" ht="15" hidden="false" customHeight="false" outlineLevel="0" collapsed="false">
      <c r="B11" s="14" t="s">
        <v>321</v>
      </c>
      <c r="C11" s="45" t="n">
        <v>1</v>
      </c>
      <c r="D11" s="46" t="s">
        <v>322</v>
      </c>
      <c r="E11" s="46"/>
      <c r="F11" s="46"/>
    </row>
    <row r="12" customFormat="false" ht="15" hidden="false" customHeight="false" outlineLevel="0" collapsed="false">
      <c r="B12" s="14" t="s">
        <v>323</v>
      </c>
      <c r="C12" s="45" t="n">
        <v>1.33</v>
      </c>
      <c r="D12" s="46" t="s">
        <v>324</v>
      </c>
      <c r="E12" s="46"/>
      <c r="F12" s="46"/>
    </row>
    <row r="13" customFormat="false" ht="15" hidden="false" customHeight="false" outlineLevel="0" collapsed="false">
      <c r="B13" s="14" t="s">
        <v>325</v>
      </c>
      <c r="C13" s="45" t="n">
        <v>1.49</v>
      </c>
      <c r="D13" s="46" t="s">
        <v>326</v>
      </c>
      <c r="E13" s="46"/>
      <c r="F13" s="46"/>
    </row>
    <row r="15" customFormat="false" ht="19.5" hidden="false" customHeight="true" outlineLevel="0" collapsed="false">
      <c r="A15" s="3" t="s">
        <v>327</v>
      </c>
      <c r="B15" s="3"/>
      <c r="C15" s="3"/>
      <c r="D15" s="3"/>
      <c r="E15" s="3"/>
      <c r="F15" s="3"/>
    </row>
    <row r="16" customFormat="false" ht="27.75" hidden="false" customHeight="true" outlineLevel="0" collapsed="false">
      <c r="A16" s="4" t="s">
        <v>328</v>
      </c>
      <c r="B16" s="4"/>
      <c r="C16" s="4"/>
      <c r="D16" s="4"/>
      <c r="E16" s="4"/>
      <c r="F16" s="4"/>
    </row>
    <row r="17" customFormat="false" ht="45.75" hidden="false" customHeight="true" outlineLevel="0" collapsed="false">
      <c r="A17" s="4" t="s">
        <v>329</v>
      </c>
      <c r="B17" s="4"/>
      <c r="C17" s="4"/>
      <c r="D17" s="4"/>
      <c r="E17" s="4"/>
      <c r="F17" s="4"/>
    </row>
    <row r="18" customFormat="false" ht="60" hidden="false" customHeight="true" outlineLevel="0" collapsed="false">
      <c r="A18" s="4" t="s">
        <v>330</v>
      </c>
      <c r="B18" s="4"/>
      <c r="C18" s="4"/>
      <c r="D18" s="4"/>
      <c r="E18" s="4"/>
      <c r="F18" s="4"/>
    </row>
    <row r="19" customFormat="false" ht="19.5" hidden="false" customHeight="true" outlineLevel="0" collapsed="false">
      <c r="A19" s="3" t="s">
        <v>331</v>
      </c>
      <c r="B19" s="3"/>
      <c r="C19" s="3"/>
      <c r="D19" s="3"/>
      <c r="E19" s="3"/>
      <c r="F19" s="3"/>
    </row>
    <row r="20" customFormat="false" ht="15" hidden="false" customHeight="false" outlineLevel="0" collapsed="false">
      <c r="A20" s="6"/>
      <c r="B20" s="6" t="s">
        <v>229</v>
      </c>
      <c r="C20" s="6" t="s">
        <v>192</v>
      </c>
      <c r="D20" s="6" t="s">
        <v>211</v>
      </c>
    </row>
    <row r="21" customFormat="false" ht="24" hidden="false" customHeight="true" outlineLevel="0" collapsed="false">
      <c r="B21" s="14" t="s">
        <v>332</v>
      </c>
      <c r="C21" s="47" t="n">
        <f aca="false">5_Nos_chiffres!C5*C12</f>
        <v>792.399503</v>
      </c>
      <c r="D21" s="9" t="s">
        <v>333</v>
      </c>
      <c r="E21" s="9"/>
      <c r="F21" s="9"/>
    </row>
    <row r="22" customFormat="false" ht="24" hidden="false" customHeight="true" outlineLevel="0" collapsed="false">
      <c r="B22" s="14" t="s">
        <v>334</v>
      </c>
      <c r="C22" s="47" t="n">
        <f aca="false">5_Nos_chiffres!C6*C25/C24</f>
        <v>624.956383507277</v>
      </c>
      <c r="D22" s="9" t="s">
        <v>335</v>
      </c>
      <c r="E22" s="9"/>
      <c r="F22" s="9"/>
    </row>
    <row r="23" customFormat="false" ht="24" hidden="false" customHeight="true" outlineLevel="0" collapsed="false">
      <c r="B23" s="14" t="s">
        <v>336</v>
      </c>
      <c r="C23" s="48" t="n">
        <f aca="false">MAX(C21:C22)/MIN(C21:C22)</f>
        <v>1.26792768889411</v>
      </c>
      <c r="D23" s="9" t="s">
        <v>337</v>
      </c>
      <c r="E23" s="9"/>
      <c r="F23" s="9"/>
    </row>
    <row r="24" customFormat="false" ht="15" hidden="false" customHeight="true" outlineLevel="0" collapsed="false">
      <c r="B24" s="14" t="s">
        <v>338</v>
      </c>
      <c r="C24" s="42" t="n">
        <v>1.00850917208</v>
      </c>
      <c r="D24" s="49" t="s">
        <v>339</v>
      </c>
      <c r="E24" s="49"/>
      <c r="F24" s="49"/>
    </row>
    <row r="25" customFormat="false" ht="15" hidden="false" customHeight="false" outlineLevel="0" collapsed="false">
      <c r="B25" s="14" t="s">
        <v>340</v>
      </c>
      <c r="C25" s="42" t="n">
        <v>1.03745260644</v>
      </c>
      <c r="D25" s="49"/>
      <c r="E25" s="49"/>
      <c r="F25" s="49"/>
    </row>
    <row r="27" customFormat="false" ht="19.5" hidden="false" customHeight="true" outlineLevel="0" collapsed="false">
      <c r="A27" s="3" t="s">
        <v>341</v>
      </c>
      <c r="B27" s="3"/>
      <c r="C27" s="3"/>
      <c r="D27" s="3"/>
      <c r="E27" s="3"/>
      <c r="F27" s="3"/>
    </row>
    <row r="28" customFormat="false" ht="30" hidden="false" customHeight="true" outlineLevel="0" collapsed="false">
      <c r="A28" s="50" t="s">
        <v>342</v>
      </c>
      <c r="B28" s="51" t="s">
        <v>343</v>
      </c>
      <c r="C28" s="9" t="s">
        <v>344</v>
      </c>
      <c r="D28" s="9"/>
      <c r="E28" s="9"/>
      <c r="F28" s="9"/>
    </row>
    <row r="29" customFormat="false" ht="30" hidden="false" customHeight="true" outlineLevel="0" collapsed="false">
      <c r="A29" s="50" t="s">
        <v>342</v>
      </c>
      <c r="B29" s="51" t="s">
        <v>345</v>
      </c>
      <c r="C29" s="9" t="s">
        <v>346</v>
      </c>
      <c r="D29" s="9"/>
      <c r="E29" s="9"/>
      <c r="F29" s="9"/>
    </row>
    <row r="30" customFormat="false" ht="30" hidden="false" customHeight="true" outlineLevel="0" collapsed="false">
      <c r="A30" s="50" t="s">
        <v>342</v>
      </c>
      <c r="B30" s="51" t="s">
        <v>347</v>
      </c>
      <c r="C30" s="9" t="s">
        <v>348</v>
      </c>
      <c r="D30" s="9"/>
      <c r="E30" s="9"/>
      <c r="F30" s="9"/>
    </row>
    <row r="31" customFormat="false" ht="30" hidden="false" customHeight="true" outlineLevel="0" collapsed="false">
      <c r="A31" s="50" t="s">
        <v>342</v>
      </c>
      <c r="B31" s="51" t="s">
        <v>349</v>
      </c>
      <c r="C31" s="9" t="s">
        <v>350</v>
      </c>
      <c r="D31" s="9"/>
      <c r="E31" s="9"/>
      <c r="F31" s="9"/>
    </row>
    <row r="33" customFormat="false" ht="19.5" hidden="false" customHeight="true" outlineLevel="0" collapsed="false">
      <c r="A33" s="3" t="s">
        <v>351</v>
      </c>
      <c r="B33" s="3"/>
      <c r="C33" s="3"/>
      <c r="D33" s="3"/>
      <c r="E33" s="3"/>
      <c r="F33" s="3"/>
    </row>
    <row r="34" customFormat="false" ht="42" hidden="false" customHeight="true" outlineLevel="0" collapsed="false">
      <c r="A34" s="52" t="s">
        <v>352</v>
      </c>
      <c r="B34" s="52"/>
      <c r="C34" s="52"/>
      <c r="D34" s="52"/>
      <c r="E34" s="52"/>
      <c r="F34" s="52"/>
    </row>
    <row r="35" customFormat="false" ht="42" hidden="false" customHeight="true" outlineLevel="0" collapsed="false">
      <c r="A35" s="52"/>
      <c r="B35" s="52"/>
      <c r="C35" s="52"/>
      <c r="D35" s="52"/>
      <c r="E35" s="52"/>
      <c r="F35" s="52"/>
    </row>
    <row r="36" customFormat="false" ht="42" hidden="false" customHeight="true" outlineLevel="0" collapsed="false">
      <c r="A36" s="52"/>
      <c r="B36" s="52"/>
      <c r="C36" s="52"/>
      <c r="D36" s="52"/>
      <c r="E36" s="52"/>
      <c r="F36" s="52"/>
    </row>
  </sheetData>
  <mergeCells count="25">
    <mergeCell ref="A1:F1"/>
    <mergeCell ref="A2:F2"/>
    <mergeCell ref="A4:F4"/>
    <mergeCell ref="A5:F5"/>
    <mergeCell ref="A7:F7"/>
    <mergeCell ref="A9:F9"/>
    <mergeCell ref="D11:F11"/>
    <mergeCell ref="D12:F12"/>
    <mergeCell ref="D13:F13"/>
    <mergeCell ref="A15:F15"/>
    <mergeCell ref="A16:F16"/>
    <mergeCell ref="A17:F17"/>
    <mergeCell ref="A18:F18"/>
    <mergeCell ref="A19:F19"/>
    <mergeCell ref="D21:F21"/>
    <mergeCell ref="D22:F22"/>
    <mergeCell ref="D23:F23"/>
    <mergeCell ref="D24:F25"/>
    <mergeCell ref="A27:F27"/>
    <mergeCell ref="C28:F28"/>
    <mergeCell ref="C29:F29"/>
    <mergeCell ref="C30:F30"/>
    <mergeCell ref="C31:F31"/>
    <mergeCell ref="A33:F33"/>
    <mergeCell ref="A34:F3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3" min="2" style="0" width="15"/>
    <col collapsed="false" customWidth="true" hidden="false" outlineLevel="0" max="4" min="4" style="0" width="19"/>
    <col collapsed="false" customWidth="true" hidden="false" outlineLevel="0" max="5" min="5" style="0" width="4"/>
    <col collapsed="false" customWidth="true" hidden="false" outlineLevel="0" max="9" min="6" style="0" width="13"/>
  </cols>
  <sheetData>
    <row r="1" customFormat="false" ht="30" hidden="false" customHeight="true" outlineLevel="0" collapsed="false">
      <c r="A1" s="1" t="s">
        <v>353</v>
      </c>
      <c r="B1" s="1"/>
      <c r="C1" s="1"/>
      <c r="D1" s="1"/>
      <c r="E1" s="1"/>
      <c r="F1" s="1"/>
      <c r="G1" s="1"/>
      <c r="H1" s="1"/>
      <c r="I1" s="1"/>
    </row>
    <row r="2" customFormat="false" ht="24" hidden="false" customHeight="true" outlineLevel="0" collapsed="false">
      <c r="A2" s="2" t="s">
        <v>354</v>
      </c>
      <c r="B2" s="2"/>
      <c r="C2" s="2"/>
      <c r="D2" s="2"/>
      <c r="E2" s="2"/>
      <c r="F2" s="2"/>
      <c r="G2" s="2"/>
      <c r="H2" s="2"/>
      <c r="I2" s="2"/>
    </row>
    <row r="4" customFormat="false" ht="19.5" hidden="false" customHeight="true" outlineLevel="0" collapsed="false">
      <c r="A4" s="3" t="s">
        <v>355</v>
      </c>
      <c r="B4" s="3"/>
      <c r="C4" s="3"/>
      <c r="D4" s="3"/>
      <c r="E4" s="3"/>
      <c r="F4" s="3"/>
      <c r="G4" s="3"/>
      <c r="H4" s="3"/>
      <c r="I4" s="3"/>
    </row>
    <row r="5" customFormat="false" ht="15" hidden="false" customHeight="false" outlineLevel="0" collapsed="false">
      <c r="A5" s="14" t="s">
        <v>356</v>
      </c>
      <c r="B5" s="23" t="n">
        <v>0.223</v>
      </c>
      <c r="C5" s="24" t="s">
        <v>357</v>
      </c>
    </row>
    <row r="6" customFormat="false" ht="15" hidden="false" customHeight="false" outlineLevel="0" collapsed="false">
      <c r="A6" s="14" t="s">
        <v>358</v>
      </c>
      <c r="B6" s="19" t="n">
        <v>640</v>
      </c>
      <c r="C6" s="24" t="s">
        <v>359</v>
      </c>
    </row>
    <row r="8" customFormat="false" ht="19.5" hidden="false" customHeight="true" outlineLevel="0" collapsed="false">
      <c r="A8" s="3" t="s">
        <v>360</v>
      </c>
      <c r="B8" s="3"/>
      <c r="C8" s="3"/>
      <c r="D8" s="3"/>
      <c r="E8" s="3"/>
      <c r="F8" s="3"/>
      <c r="G8" s="3"/>
      <c r="H8" s="3"/>
      <c r="I8" s="3"/>
    </row>
    <row r="9" customFormat="false" ht="27.75" hidden="false" customHeight="true" outlineLevel="0" collapsed="false">
      <c r="A9" s="4" t="s">
        <v>361</v>
      </c>
      <c r="B9" s="4"/>
      <c r="C9" s="4"/>
      <c r="D9" s="4"/>
      <c r="E9" s="4"/>
      <c r="F9" s="4"/>
      <c r="G9" s="4"/>
      <c r="H9" s="4"/>
      <c r="I9" s="4"/>
    </row>
    <row r="11" customFormat="false" ht="15" hidden="false" customHeight="false" outlineLevel="0" collapsed="false">
      <c r="A11" s="6" t="s">
        <v>362</v>
      </c>
      <c r="B11" s="6" t="s">
        <v>363</v>
      </c>
      <c r="C11" s="6" t="s">
        <v>364</v>
      </c>
      <c r="D11" s="6" t="s">
        <v>365</v>
      </c>
    </row>
    <row r="12" customFormat="false" ht="15" hidden="false" customHeight="false" outlineLevel="0" collapsed="false">
      <c r="A12" s="38" t="n">
        <v>20</v>
      </c>
      <c r="B12" s="53" t="n">
        <f aca="false">5_Nos_chiffres!$C$5*$B$5/A12</f>
        <v>6.643048465</v>
      </c>
      <c r="C12" s="53" t="n">
        <f aca="false">6_Sous_leau!$C$21*$B$5/A12</f>
        <v>8.83525445845</v>
      </c>
      <c r="D12" s="53" t="n">
        <f aca="false">$B$6*$B$5/A12</f>
        <v>7.136</v>
      </c>
    </row>
    <row r="13" customFormat="false" ht="15" hidden="false" customHeight="false" outlineLevel="0" collapsed="false">
      <c r="A13" s="38" t="n">
        <v>30</v>
      </c>
      <c r="B13" s="53" t="n">
        <f aca="false">5_Nos_chiffres!$C$5*$B$5/A13</f>
        <v>4.42869897666667</v>
      </c>
      <c r="C13" s="53" t="n">
        <f aca="false">6_Sous_leau!$C$21*$B$5/A13</f>
        <v>5.89016963896667</v>
      </c>
      <c r="D13" s="53" t="n">
        <f aca="false">$B$6*$B$5/A13</f>
        <v>4.75733333333333</v>
      </c>
    </row>
    <row r="14" customFormat="false" ht="15" hidden="false" customHeight="false" outlineLevel="0" collapsed="false">
      <c r="A14" s="38" t="n">
        <v>40</v>
      </c>
      <c r="B14" s="53" t="n">
        <f aca="false">5_Nos_chiffres!$C$5*$B$5/A14</f>
        <v>3.3215242325</v>
      </c>
      <c r="C14" s="53" t="n">
        <f aca="false">6_Sous_leau!$C$21*$B$5/A14</f>
        <v>4.417627229225</v>
      </c>
      <c r="D14" s="53" t="n">
        <f aca="false">$B$6*$B$5/A14</f>
        <v>3.568</v>
      </c>
    </row>
    <row r="15" customFormat="false" ht="15" hidden="false" customHeight="false" outlineLevel="0" collapsed="false">
      <c r="A15" s="38" t="n">
        <v>50</v>
      </c>
      <c r="B15" s="53" t="n">
        <f aca="false">5_Nos_chiffres!$C$5*$B$5/A15</f>
        <v>2.657219386</v>
      </c>
      <c r="C15" s="53" t="n">
        <f aca="false">6_Sous_leau!$C$21*$B$5/A15</f>
        <v>3.53410178338</v>
      </c>
      <c r="D15" s="53" t="n">
        <f aca="false">$B$6*$B$5/A15</f>
        <v>2.8544</v>
      </c>
    </row>
    <row r="16" customFormat="false" ht="15" hidden="false" customHeight="false" outlineLevel="0" collapsed="false">
      <c r="A16" s="38" t="n">
        <v>60</v>
      </c>
      <c r="B16" s="53" t="n">
        <f aca="false">5_Nos_chiffres!$C$5*$B$5/A16</f>
        <v>2.21434948833333</v>
      </c>
      <c r="C16" s="53" t="n">
        <f aca="false">6_Sous_leau!$C$21*$B$5/A16</f>
        <v>2.94508481948333</v>
      </c>
      <c r="D16" s="53" t="n">
        <f aca="false">$B$6*$B$5/A16</f>
        <v>2.37866666666667</v>
      </c>
    </row>
    <row r="17" customFormat="false" ht="15" hidden="false" customHeight="false" outlineLevel="0" collapsed="false">
      <c r="A17" s="38" t="n">
        <v>70</v>
      </c>
      <c r="B17" s="53" t="n">
        <f aca="false">5_Nos_chiffres!$C$5*$B$5/A17</f>
        <v>1.89801384714286</v>
      </c>
      <c r="C17" s="53" t="n">
        <f aca="false">6_Sous_leau!$C$21*$B$5/A17</f>
        <v>2.5243584167</v>
      </c>
      <c r="D17" s="53" t="n">
        <f aca="false">$B$6*$B$5/A17</f>
        <v>2.03885714285714</v>
      </c>
    </row>
    <row r="18" customFormat="false" ht="15" hidden="false" customHeight="false" outlineLevel="0" collapsed="false">
      <c r="A18" s="38" t="n">
        <v>80</v>
      </c>
      <c r="B18" s="53" t="n">
        <f aca="false">5_Nos_chiffres!$C$5*$B$5/A18</f>
        <v>1.66076211625</v>
      </c>
      <c r="C18" s="53" t="n">
        <f aca="false">6_Sous_leau!$C$21*$B$5/A18</f>
        <v>2.2088136146125</v>
      </c>
      <c r="D18" s="53" t="n">
        <f aca="false">$B$6*$B$5/A18</f>
        <v>1.784</v>
      </c>
    </row>
    <row r="19" customFormat="false" ht="15" hidden="false" customHeight="false" outlineLevel="0" collapsed="false">
      <c r="A19" s="38" t="n">
        <v>90</v>
      </c>
      <c r="B19" s="53" t="n">
        <f aca="false">5_Nos_chiffres!$C$5*$B$5/A19</f>
        <v>1.47623299222222</v>
      </c>
      <c r="C19" s="53" t="n">
        <f aca="false">6_Sous_leau!$C$21*$B$5/A19</f>
        <v>1.96338987965556</v>
      </c>
      <c r="D19" s="53" t="n">
        <f aca="false">$B$6*$B$5/A19</f>
        <v>1.58577777777778</v>
      </c>
    </row>
    <row r="20" customFormat="false" ht="15" hidden="false" customHeight="false" outlineLevel="0" collapsed="false">
      <c r="A20" s="38" t="n">
        <v>100</v>
      </c>
      <c r="B20" s="53" t="n">
        <f aca="false">5_Nos_chiffres!$C$5*$B$5/A20</f>
        <v>1.328609693</v>
      </c>
      <c r="C20" s="53" t="n">
        <f aca="false">6_Sous_leau!$C$21*$B$5/A20</f>
        <v>1.76705089169</v>
      </c>
      <c r="D20" s="53" t="n">
        <f aca="false">$B$6*$B$5/A20</f>
        <v>1.4272</v>
      </c>
    </row>
    <row r="21" customFormat="false" ht="15" hidden="false" customHeight="false" outlineLevel="0" collapsed="false">
      <c r="A21" s="38" t="n">
        <v>110</v>
      </c>
      <c r="B21" s="53" t="n">
        <f aca="false">5_Nos_chiffres!$C$5*$B$5/A21</f>
        <v>1.20782699363636</v>
      </c>
      <c r="C21" s="53" t="n">
        <f aca="false">6_Sous_leau!$C$21*$B$5/A21</f>
        <v>1.60640990153636</v>
      </c>
      <c r="D21" s="53" t="n">
        <f aca="false">$B$6*$B$5/A21</f>
        <v>1.29745454545455</v>
      </c>
    </row>
    <row r="22" customFormat="false" ht="15" hidden="false" customHeight="false" outlineLevel="0" collapsed="false">
      <c r="A22" s="38" t="n">
        <v>120</v>
      </c>
      <c r="B22" s="53" t="n">
        <f aca="false">5_Nos_chiffres!$C$5*$B$5/A22</f>
        <v>1.10717474416667</v>
      </c>
      <c r="C22" s="53" t="n">
        <f aca="false">6_Sous_leau!$C$21*$B$5/A22</f>
        <v>1.47254240974167</v>
      </c>
      <c r="D22" s="53" t="n">
        <f aca="false">$B$6*$B$5/A22</f>
        <v>1.18933333333333</v>
      </c>
    </row>
    <row r="23" customFormat="false" ht="15" hidden="false" customHeight="false" outlineLevel="0" collapsed="false">
      <c r="A23" s="38" t="n">
        <v>130</v>
      </c>
      <c r="B23" s="53" t="n">
        <f aca="false">5_Nos_chiffres!$C$5*$B$5/A23</f>
        <v>1.02200745615385</v>
      </c>
      <c r="C23" s="53" t="n">
        <f aca="false">6_Sous_leau!$C$21*$B$5/A23</f>
        <v>1.35926991668462</v>
      </c>
      <c r="D23" s="53" t="n">
        <f aca="false">$B$6*$B$5/A23</f>
        <v>1.09784615384615</v>
      </c>
    </row>
    <row r="24" customFormat="false" ht="15" hidden="false" customHeight="false" outlineLevel="0" collapsed="false">
      <c r="A24" s="38" t="n">
        <v>140</v>
      </c>
      <c r="B24" s="53" t="n">
        <f aca="false">5_Nos_chiffres!$C$5*$B$5/A24</f>
        <v>0.949006923571429</v>
      </c>
      <c r="C24" s="53" t="n">
        <f aca="false">6_Sous_leau!$C$21*$B$5/A24</f>
        <v>1.26217920835</v>
      </c>
      <c r="D24" s="53" t="n">
        <f aca="false">$B$6*$B$5/A24</f>
        <v>1.01942857142857</v>
      </c>
    </row>
    <row r="25" customFormat="false" ht="15" hidden="false" customHeight="false" outlineLevel="0" collapsed="false">
      <c r="A25" s="38" t="n">
        <v>150</v>
      </c>
      <c r="B25" s="53" t="n">
        <f aca="false">5_Nos_chiffres!$C$5*$B$5/A25</f>
        <v>0.885739795333333</v>
      </c>
      <c r="C25" s="53" t="n">
        <f aca="false">6_Sous_leau!$C$21*$B$5/A25</f>
        <v>1.17803392779333</v>
      </c>
      <c r="D25" s="53" t="n">
        <f aca="false">$B$6*$B$5/A25</f>
        <v>0.951466666666667</v>
      </c>
    </row>
    <row r="26" customFormat="false" ht="15" hidden="false" customHeight="false" outlineLevel="0" collapsed="false">
      <c r="A26" s="38" t="n">
        <v>160</v>
      </c>
      <c r="B26" s="53" t="n">
        <f aca="false">5_Nos_chiffres!$C$5*$B$5/A26</f>
        <v>0.830381058125</v>
      </c>
      <c r="C26" s="53" t="n">
        <f aca="false">6_Sous_leau!$C$21*$B$5/A26</f>
        <v>1.10440680730625</v>
      </c>
      <c r="D26" s="53" t="n">
        <f aca="false">$B$6*$B$5/A26</f>
        <v>0.892</v>
      </c>
    </row>
    <row r="27" customFormat="false" ht="15" hidden="false" customHeight="false" outlineLevel="0" collapsed="false">
      <c r="A27" s="38" t="n">
        <v>170</v>
      </c>
      <c r="B27" s="53" t="n">
        <f aca="false">5_Nos_chiffres!$C$5*$B$5/A27</f>
        <v>0.781535113529412</v>
      </c>
      <c r="C27" s="53" t="n">
        <f aca="false">6_Sous_leau!$C$21*$B$5/A27</f>
        <v>1.03944170099412</v>
      </c>
      <c r="D27" s="53" t="n">
        <f aca="false">$B$6*$B$5/A27</f>
        <v>0.839529411764706</v>
      </c>
    </row>
    <row r="28" customFormat="false" ht="15" hidden="false" customHeight="false" outlineLevel="0" collapsed="false">
      <c r="A28" s="38" t="n">
        <v>180</v>
      </c>
      <c r="B28" s="53" t="n">
        <f aca="false">5_Nos_chiffres!$C$5*$B$5/A28</f>
        <v>0.738116496111111</v>
      </c>
      <c r="C28" s="53" t="n">
        <f aca="false">6_Sous_leau!$C$21*$B$5/A28</f>
        <v>0.981694939827778</v>
      </c>
      <c r="D28" s="53" t="n">
        <f aca="false">$B$6*$B$5/A28</f>
        <v>0.792888888888889</v>
      </c>
    </row>
    <row r="29" customFormat="false" ht="15" hidden="false" customHeight="false" outlineLevel="0" collapsed="false">
      <c r="A29" s="38" t="n">
        <v>190</v>
      </c>
      <c r="B29" s="53" t="n">
        <f aca="false">5_Nos_chiffres!$C$5*$B$5/A29</f>
        <v>0.699268259473684</v>
      </c>
      <c r="C29" s="53" t="n">
        <f aca="false">6_Sous_leau!$C$21*$B$5/A29</f>
        <v>0.9300267851</v>
      </c>
      <c r="D29" s="53" t="n">
        <f aca="false">$B$6*$B$5/A29</f>
        <v>0.751157894736842</v>
      </c>
    </row>
    <row r="30" customFormat="false" ht="15" hidden="false" customHeight="false" outlineLevel="0" collapsed="false">
      <c r="A30" s="38" t="n">
        <v>200</v>
      </c>
      <c r="B30" s="53" t="n">
        <f aca="false">5_Nos_chiffres!$C$5*$B$5/A30</f>
        <v>0.6643048465</v>
      </c>
      <c r="C30" s="53" t="n">
        <f aca="false">6_Sous_leau!$C$21*$B$5/A30</f>
        <v>0.883525445845</v>
      </c>
      <c r="D30" s="53" t="n">
        <f aca="false">$B$6*$B$5/A30</f>
        <v>0.7136</v>
      </c>
    </row>
    <row r="31" customFormat="false" ht="15" hidden="false" customHeight="false" outlineLevel="0" collapsed="false">
      <c r="A31" s="38" t="n">
        <v>210</v>
      </c>
      <c r="B31" s="53" t="n">
        <f aca="false">5_Nos_chiffres!$C$5*$B$5/A31</f>
        <v>0.632671282380952</v>
      </c>
      <c r="C31" s="53" t="n">
        <f aca="false">6_Sous_leau!$C$21*$B$5/A31</f>
        <v>0.841452805566667</v>
      </c>
      <c r="D31" s="53" t="n">
        <f aca="false">$B$6*$B$5/A31</f>
        <v>0.679619047619048</v>
      </c>
    </row>
    <row r="32" customFormat="false" ht="15" hidden="false" customHeight="false" outlineLevel="0" collapsed="false">
      <c r="A32" s="38" t="n">
        <v>220</v>
      </c>
      <c r="B32" s="53" t="n">
        <f aca="false">5_Nos_chiffres!$C$5*$B$5/A32</f>
        <v>0.603913496818182</v>
      </c>
      <c r="C32" s="53" t="n">
        <f aca="false">6_Sous_leau!$C$21*$B$5/A32</f>
        <v>0.803204950768182</v>
      </c>
      <c r="D32" s="53" t="n">
        <f aca="false">$B$6*$B$5/A32</f>
        <v>0.648727272727273</v>
      </c>
    </row>
    <row r="33" customFormat="false" ht="15" hidden="false" customHeight="false" outlineLevel="0" collapsed="false">
      <c r="A33" s="38" t="n">
        <v>230</v>
      </c>
      <c r="B33" s="53" t="n">
        <f aca="false">5_Nos_chiffres!$C$5*$B$5/A33</f>
        <v>0.57765638826087</v>
      </c>
      <c r="C33" s="53" t="n">
        <f aca="false">6_Sous_leau!$C$21*$B$5/A33</f>
        <v>0.768282996386957</v>
      </c>
      <c r="D33" s="53" t="n">
        <f aca="false">$B$6*$B$5/A33</f>
        <v>0.620521739130435</v>
      </c>
    </row>
    <row r="34" customFormat="false" ht="15" hidden="false" customHeight="false" outlineLevel="0" collapsed="false">
      <c r="A34" s="38" t="n">
        <v>240</v>
      </c>
      <c r="B34" s="53" t="n">
        <f aca="false">5_Nos_chiffres!$C$5*$B$5/A34</f>
        <v>0.553587372083333</v>
      </c>
      <c r="C34" s="53" t="n">
        <f aca="false">6_Sous_leau!$C$21*$B$5/A34</f>
        <v>0.736271204870833</v>
      </c>
      <c r="D34" s="53" t="n">
        <f aca="false">$B$6*$B$5/A34</f>
        <v>0.594666666666667</v>
      </c>
    </row>
    <row r="35" customFormat="false" ht="15" hidden="false" customHeight="false" outlineLevel="0" collapsed="false">
      <c r="A35" s="38" t="n">
        <v>250</v>
      </c>
      <c r="B35" s="53" t="n">
        <f aca="false">5_Nos_chiffres!$C$5*$B$5/A35</f>
        <v>0.5314438772</v>
      </c>
      <c r="C35" s="53" t="n">
        <f aca="false">6_Sous_leau!$C$21*$B$5/A35</f>
        <v>0.706820356676</v>
      </c>
      <c r="D35" s="53" t="n">
        <f aca="false">$B$6*$B$5/A35</f>
        <v>0.57088</v>
      </c>
    </row>
    <row r="36" customFormat="false" ht="15" hidden="false" customHeight="false" outlineLevel="0" collapsed="false">
      <c r="A36" s="38" t="n">
        <v>260</v>
      </c>
      <c r="B36" s="53" t="n">
        <f aca="false">5_Nos_chiffres!$C$5*$B$5/A36</f>
        <v>0.511003728076923</v>
      </c>
      <c r="C36" s="53" t="n">
        <f aca="false">6_Sous_leau!$C$21*$B$5/A36</f>
        <v>0.679634958342308</v>
      </c>
      <c r="D36" s="53" t="n">
        <f aca="false">$B$6*$B$5/A36</f>
        <v>0.548923076923077</v>
      </c>
    </row>
    <row r="37" customFormat="false" ht="15" hidden="false" customHeight="false" outlineLevel="0" collapsed="false">
      <c r="A37" s="38" t="n">
        <v>270</v>
      </c>
      <c r="B37" s="53" t="n">
        <f aca="false">5_Nos_chiffres!$C$5*$B$5/A37</f>
        <v>0.492077664074074</v>
      </c>
      <c r="C37" s="53" t="n">
        <f aca="false">6_Sous_leau!$C$21*$B$5/A37</f>
        <v>0.654463293218519</v>
      </c>
      <c r="D37" s="53" t="n">
        <f aca="false">$B$6*$B$5/A37</f>
        <v>0.528592592592593</v>
      </c>
    </row>
    <row r="38" customFormat="false" ht="15" hidden="false" customHeight="false" outlineLevel="0" collapsed="false">
      <c r="A38" s="38" t="n">
        <v>280</v>
      </c>
      <c r="B38" s="53" t="n">
        <f aca="false">5_Nos_chiffres!$C$5*$B$5/A38</f>
        <v>0.474503461785714</v>
      </c>
      <c r="C38" s="53" t="n">
        <f aca="false">6_Sous_leau!$C$21*$B$5/A38</f>
        <v>0.631089604175</v>
      </c>
      <c r="D38" s="53" t="n">
        <f aca="false">$B$6*$B$5/A38</f>
        <v>0.509714285714286</v>
      </c>
    </row>
    <row r="39" customFormat="false" ht="15" hidden="false" customHeight="false" outlineLevel="0" collapsed="false">
      <c r="A39" s="38" t="n">
        <v>290</v>
      </c>
      <c r="B39" s="53" t="n">
        <f aca="false">5_Nos_chiffres!$C$5*$B$5/A39</f>
        <v>0.458141273448276</v>
      </c>
      <c r="C39" s="53" t="n">
        <f aca="false">6_Sous_leau!$C$21*$B$5/A39</f>
        <v>0.609327893686207</v>
      </c>
      <c r="D39" s="53" t="n">
        <f aca="false">$B$6*$B$5/A39</f>
        <v>0.492137931034483</v>
      </c>
    </row>
    <row r="40" customFormat="false" ht="15" hidden="false" customHeight="false" outlineLevel="0" collapsed="false">
      <c r="A40" s="38" t="n">
        <v>300</v>
      </c>
      <c r="B40" s="53" t="n">
        <f aca="false">5_Nos_chiffres!$C$5*$B$5/A40</f>
        <v>0.442869897666667</v>
      </c>
      <c r="C40" s="53" t="n">
        <f aca="false">6_Sous_leau!$C$21*$B$5/A40</f>
        <v>0.589016963896667</v>
      </c>
      <c r="D40" s="53" t="n">
        <f aca="false">$B$6*$B$5/A40</f>
        <v>0.475733333333333</v>
      </c>
    </row>
    <row r="41" customFormat="false" ht="19.5" hidden="false" customHeight="true" outlineLevel="0" collapsed="false">
      <c r="A41" s="3" t="s">
        <v>366</v>
      </c>
      <c r="B41" s="3"/>
      <c r="C41" s="3"/>
      <c r="D41" s="3"/>
      <c r="E41" s="3"/>
      <c r="F41" s="3"/>
      <c r="G41" s="3"/>
      <c r="H41" s="3"/>
      <c r="I41" s="3"/>
    </row>
    <row r="42" customFormat="false" ht="18" hidden="false" customHeight="true" outlineLevel="0" collapsed="false">
      <c r="A42" s="4" t="s">
        <v>367</v>
      </c>
      <c r="B42" s="4"/>
      <c r="C42" s="4"/>
      <c r="D42" s="4"/>
      <c r="E42" s="4"/>
      <c r="F42" s="4"/>
      <c r="G42" s="4"/>
      <c r="H42" s="4"/>
      <c r="I42" s="4"/>
    </row>
    <row r="43" customFormat="false" ht="15" hidden="false" customHeight="false" outlineLevel="0" collapsed="false">
      <c r="A43" s="6" t="s">
        <v>368</v>
      </c>
      <c r="B43" s="6" t="s">
        <v>369</v>
      </c>
      <c r="C43" s="6" t="s">
        <v>370</v>
      </c>
      <c r="D43" s="6" t="s">
        <v>371</v>
      </c>
    </row>
    <row r="44" customFormat="false" ht="15" hidden="false" customHeight="false" outlineLevel="0" collapsed="false">
      <c r="A44" s="54" t="n">
        <v>0</v>
      </c>
      <c r="B44" s="28" t="n">
        <f aca="false">1+5_Nos_chiffres!$C$9*A44^2+5_Nos_chiffres!$C$10*A44^4+5_Nos_chiffres!$C$13*A44^6</f>
        <v>1</v>
      </c>
      <c r="C44" s="39" t="n">
        <f aca="false">A44*(5_Nos_chiffres!$C$5+5_Nos_chiffres!$C$6)/2</f>
        <v>0</v>
      </c>
      <c r="D44" s="54" t="n">
        <f aca="false">C44*(B44-1)</f>
        <v>0</v>
      </c>
    </row>
    <row r="45" customFormat="false" ht="15" hidden="false" customHeight="false" outlineLevel="0" collapsed="false">
      <c r="A45" s="54" t="n">
        <v>0.02</v>
      </c>
      <c r="B45" s="28" t="n">
        <f aca="false">1+5_Nos_chiffres!$C$9*A45^2+5_Nos_chiffres!$C$10*A45^4+5_Nos_chiffres!$C$13*A45^6</f>
        <v>0.999998310955185</v>
      </c>
      <c r="C45" s="39" t="n">
        <f aca="false">A45*(5_Nos_chiffres!$C$5+5_Nos_chiffres!$C$6)/2</f>
        <v>12.033101</v>
      </c>
      <c r="D45" s="54" t="n">
        <f aca="false">C45*(B45-1)</f>
        <v>-2.03244468472216E-005</v>
      </c>
    </row>
    <row r="46" customFormat="false" ht="15" hidden="false" customHeight="false" outlineLevel="0" collapsed="false">
      <c r="A46" s="54" t="n">
        <v>0.04</v>
      </c>
      <c r="B46" s="28" t="n">
        <f aca="false">1+5_Nos_chiffres!$C$9*A46^2+5_Nos_chiffres!$C$10*A46^4+5_Nos_chiffres!$C$13*A46^6</f>
        <v>0.999995241545314</v>
      </c>
      <c r="C46" s="39" t="n">
        <f aca="false">A46*(5_Nos_chiffres!$C$5+5_Nos_chiffres!$C$6)/2</f>
        <v>24.066202</v>
      </c>
      <c r="D46" s="54" t="n">
        <f aca="false">C46*(B46-1)</f>
        <v>-0.000114517931671883</v>
      </c>
    </row>
    <row r="47" customFormat="false" ht="15" hidden="false" customHeight="false" outlineLevel="0" collapsed="false">
      <c r="A47" s="54" t="n">
        <v>0.06</v>
      </c>
      <c r="B47" s="28" t="n">
        <f aca="false">1+5_Nos_chiffres!$C$9*A47^2+5_Nos_chiffres!$C$10*A47^4+5_Nos_chiffres!$C$13*A47^6</f>
        <v>0.999996705911696</v>
      </c>
      <c r="C47" s="39" t="n">
        <f aca="false">A47*(5_Nos_chiffres!$C$5+5_Nos_chiffres!$C$6)/2</f>
        <v>36.099303</v>
      </c>
      <c r="D47" s="54" t="n">
        <f aca="false">C47*(B47-1)</f>
        <v>-0.000118914291807518</v>
      </c>
    </row>
    <row r="48" customFormat="false" ht="15" hidden="false" customHeight="false" outlineLevel="0" collapsed="false">
      <c r="A48" s="54" t="n">
        <v>0.08</v>
      </c>
      <c r="B48" s="28" t="n">
        <f aca="false">1+5_Nos_chiffres!$C$9*A48^2+5_Nos_chiffres!$C$10*A48^4+5_Nos_chiffres!$C$13*A48^6</f>
        <v>1.00001229751516</v>
      </c>
      <c r="C48" s="39" t="n">
        <f aca="false">A48*(5_Nos_chiffres!$C$5+5_Nos_chiffres!$C$6)/2</f>
        <v>48.132404</v>
      </c>
      <c r="D48" s="54" t="n">
        <f aca="false">C48*(B48-1)</f>
        <v>0.000591908967651107</v>
      </c>
    </row>
    <row r="49" customFormat="false" ht="15" hidden="false" customHeight="false" outlineLevel="0" collapsed="false">
      <c r="A49" s="54" t="n">
        <v>0.1</v>
      </c>
      <c r="B49" s="28" t="n">
        <f aca="false">1+5_Nos_chiffres!$C$9*A49^2+5_Nos_chiffres!$C$10*A49^4+5_Nos_chiffres!$C$13*A49^6</f>
        <v>1.000054893974</v>
      </c>
      <c r="C49" s="39" t="n">
        <f aca="false">A49*(5_Nos_chiffres!$C$5+5_Nos_chiffres!$C$6)/2</f>
        <v>60.165505</v>
      </c>
      <c r="D49" s="54" t="n">
        <f aca="false">C49*(B49-1)</f>
        <v>0.00330272366716305</v>
      </c>
    </row>
    <row r="50" customFormat="false" ht="15" hidden="false" customHeight="false" outlineLevel="0" collapsed="false">
      <c r="A50" s="54" t="n">
        <v>0.12</v>
      </c>
      <c r="B50" s="28" t="n">
        <f aca="false">1+5_Nos_chiffres!$C$9*A50^2+5_Nos_chiffres!$C$10*A50^4+5_Nos_chiffres!$C$13*A50^6</f>
        <v>1.00014010383717</v>
      </c>
      <c r="C50" s="39" t="n">
        <f aca="false">A50*(5_Nos_chiffres!$C$5+5_Nos_chiffres!$C$6)/2</f>
        <v>72.198606</v>
      </c>
      <c r="D50" s="54" t="n">
        <f aca="false">C50*(B50-1)</f>
        <v>0.0101153017387488</v>
      </c>
    </row>
    <row r="51" customFormat="false" ht="15" hidden="false" customHeight="false" outlineLevel="0" collapsed="false">
      <c r="A51" s="54" t="n">
        <v>0.14</v>
      </c>
      <c r="B51" s="28" t="n">
        <f aca="false">1+5_Nos_chiffres!$C$9*A51^2+5_Nos_chiffres!$C$10*A51^4+5_Nos_chiffres!$C$13*A51^6</f>
        <v>1.00028555529257</v>
      </c>
      <c r="C51" s="39" t="n">
        <f aca="false">A51*(5_Nos_chiffres!$C$5+5_Nos_chiffres!$C$6)/2</f>
        <v>84.231707</v>
      </c>
      <c r="D51" s="54" t="n">
        <f aca="false">C51*(B51-1)</f>
        <v>0.0240528097356268</v>
      </c>
    </row>
    <row r="52" customFormat="false" ht="15" hidden="false" customHeight="false" outlineLevel="0" collapsed="false">
      <c r="A52" s="54" t="n">
        <v>0.16</v>
      </c>
      <c r="B52" s="28" t="n">
        <f aca="false">1+5_Nos_chiffres!$C$9*A52^2+5_Nos_chiffres!$C$10*A52^4+5_Nos_chiffres!$C$13*A52^6</f>
        <v>1.00051002681059</v>
      </c>
      <c r="C52" s="39" t="n">
        <f aca="false">A52*(5_Nos_chiffres!$C$5+5_Nos_chiffres!$C$6)/2</f>
        <v>96.264808</v>
      </c>
      <c r="D52" s="54" t="n">
        <f aca="false">C52*(B52-1)</f>
        <v>0.0490976329962327</v>
      </c>
    </row>
    <row r="53" customFormat="false" ht="15" hidden="false" customHeight="false" outlineLevel="0" collapsed="false">
      <c r="A53" s="54" t="n">
        <v>0.18</v>
      </c>
      <c r="B53" s="28" t="n">
        <f aca="false">1+5_Nos_chiffres!$C$9*A53^2+5_Nos_chiffres!$C$10*A53^4+5_Nos_chiffres!$C$13*A53^6</f>
        <v>1.00083241972284</v>
      </c>
      <c r="C53" s="39" t="n">
        <f aca="false">A53*(5_Nos_chiffres!$C$5+5_Nos_chiffres!$C$6)/2</f>
        <v>108.297909</v>
      </c>
      <c r="D53" s="54" t="n">
        <f aca="false">C53*(B53-1)</f>
        <v>0.0901493153936412</v>
      </c>
    </row>
    <row r="54" customFormat="false" ht="15" hidden="false" customHeight="false" outlineLevel="0" collapsed="false">
      <c r="A54" s="54" t="n">
        <v>0.2</v>
      </c>
      <c r="B54" s="28" t="n">
        <f aca="false">1+5_Nos_chiffres!$C$9*A54^2+5_Nos_chiffres!$C$10*A54^4+5_Nos_chiffres!$C$13*A54^6</f>
        <v>1.001270572736</v>
      </c>
      <c r="C54" s="39" t="n">
        <f aca="false">A54*(5_Nos_chiffres!$C$5+5_Nos_chiffres!$C$6)/2</f>
        <v>120.33101</v>
      </c>
      <c r="D54" s="54" t="n">
        <f aca="false">C54*(B54-1)</f>
        <v>0.152889300601351</v>
      </c>
    </row>
    <row r="55" customFormat="false" ht="15" hidden="false" customHeight="false" outlineLevel="0" collapsed="false">
      <c r="A55" s="54" t="n">
        <v>0.22</v>
      </c>
      <c r="B55" s="28" t="n">
        <f aca="false">1+5_Nos_chiffres!$C$9*A55^2+5_Nos_chiffres!$C$10*A55^4+5_Nos_chiffres!$C$13*A55^6</f>
        <v>1.00183991838094</v>
      </c>
      <c r="C55" s="39" t="n">
        <f aca="false">A55*(5_Nos_chiffres!$C$5+5_Nos_chiffres!$C$6)/2</f>
        <v>132.364111</v>
      </c>
      <c r="D55" s="54" t="n">
        <f aca="false">C55*(B55-1)</f>
        <v>0.243539160805903</v>
      </c>
    </row>
    <row r="56" customFormat="false" ht="15" hidden="false" customHeight="false" outlineLevel="0" collapsed="false">
      <c r="A56" s="54" t="n">
        <v>0.24</v>
      </c>
      <c r="B56" s="28" t="n">
        <f aca="false">1+5_Nos_chiffres!$C$9*A56^2+5_Nos_chiffres!$C$10*A56^4+5_Nos_chiffres!$C$13*A56^6</f>
        <v>1.00255198139697</v>
      </c>
      <c r="C56" s="39" t="n">
        <f aca="false">A56*(5_Nos_chiffres!$C$5+5_Nos_chiffres!$C$6)/2</f>
        <v>144.397212</v>
      </c>
      <c r="D56" s="54" t="n">
        <f aca="false">C56*(B56-1)</f>
        <v>0.368498998797964</v>
      </c>
    </row>
    <row r="57" customFormat="false" ht="15" hidden="false" customHeight="false" outlineLevel="0" collapsed="false">
      <c r="A57" s="54" t="n">
        <v>0.26</v>
      </c>
      <c r="B57" s="28" t="n">
        <f aca="false">1+5_Nos_chiffres!$C$9*A57^2+5_Nos_chiffres!$C$10*A57^4+5_Nos_chiffres!$C$13*A57^6</f>
        <v>1.00341271905127</v>
      </c>
      <c r="C57" s="39" t="n">
        <f aca="false">A57*(5_Nos_chiffres!$C$5+5_Nos_chiffres!$C$6)/2</f>
        <v>156.430313</v>
      </c>
      <c r="D57" s="54" t="n">
        <f aca="false">C57*(B57-1)</f>
        <v>0.533852709371932</v>
      </c>
    </row>
    <row r="58" customFormat="false" ht="15" hidden="false" customHeight="false" outlineLevel="0" collapsed="false">
      <c r="A58" s="54" t="n">
        <v>0.28</v>
      </c>
      <c r="B58" s="28" t="n">
        <f aca="false">1+5_Nos_chiffres!$C$9*A58^2+5_Nos_chiffres!$C$10*A58^4+5_Nos_chiffres!$C$13*A58^6</f>
        <v>1.00442070339359</v>
      </c>
      <c r="C58" s="39" t="n">
        <f aca="false">A58*(5_Nos_chiffres!$C$5+5_Nos_chiffres!$C$6)/2</f>
        <v>168.463414</v>
      </c>
      <c r="D58" s="54" t="n">
        <f aca="false">C58*(B58-1)</f>
        <v>0.744726785965766</v>
      </c>
    </row>
    <row r="59" customFormat="false" ht="15" hidden="false" customHeight="false" outlineLevel="0" collapsed="false">
      <c r="A59" s="54" t="n">
        <v>0.3</v>
      </c>
      <c r="B59" s="28" t="n">
        <f aca="false">1+5_Nos_chiffres!$C$9*A59^2+5_Nos_chiffres!$C$10*A59^4+5_Nos_chiffres!$C$13*A59^6</f>
        <v>1.005565145446</v>
      </c>
      <c r="C59" s="39" t="n">
        <f aca="false">A59*(5_Nos_chiffres!$C$5+5_Nos_chiffres!$C$6)/2</f>
        <v>180.496515</v>
      </c>
      <c r="D59" s="54" t="n">
        <f aca="false">C59*(B59-1)</f>
        <v>1.00448935847111</v>
      </c>
    </row>
    <row r="60" customFormat="false" ht="15" hidden="false" customHeight="false" outlineLevel="0" collapsed="false">
      <c r="A60" s="54" t="n">
        <v>0.32</v>
      </c>
      <c r="B60" s="28" t="n">
        <f aca="false">1+5_Nos_chiffres!$C$9*A60^2+5_Nos_chiffres!$C$10*A60^4+5_Nos_chiffres!$C$13*A60^6</f>
        <v>1.00682376132795</v>
      </c>
      <c r="C60" s="39" t="n">
        <f aca="false">A60*(5_Nos_chiffres!$C$5+5_Nos_chiffres!$C$6)/2</f>
        <v>192.529616</v>
      </c>
      <c r="D60" s="54" t="n">
        <f aca="false">C60*(B60-1)</f>
        <v>1.31377614814544</v>
      </c>
    </row>
    <row r="61" customFormat="false" ht="15" hidden="false" customHeight="false" outlineLevel="0" collapsed="false">
      <c r="A61" s="54" t="n">
        <v>0.34</v>
      </c>
      <c r="B61" s="28" t="n">
        <f aca="false">1+5_Nos_chiffres!$C$9*A61^2+5_Nos_chiffres!$C$10*A61^4+5_Nos_chiffres!$C$13*A61^6</f>
        <v>1.00816048031644</v>
      </c>
      <c r="C61" s="39" t="n">
        <f aca="false">A61*(5_Nos_chiffres!$C$5+5_Nos_chiffres!$C$6)/2</f>
        <v>204.562717</v>
      </c>
      <c r="D61" s="54" t="n">
        <f aca="false">C61*(B61-1)</f>
        <v>1.66933002555642</v>
      </c>
    </row>
    <row r="62" customFormat="false" ht="15" hidden="false" customHeight="false" outlineLevel="0" collapsed="false">
      <c r="A62" s="54" t="n">
        <v>0.36</v>
      </c>
      <c r="B62" s="28" t="n">
        <f aca="false">1+5_Nos_chiffres!$C$9*A62^2+5_Nos_chiffres!$C$10*A62^4+5_Nos_chiffres!$C$13*A62^6</f>
        <v>1.00952299484143</v>
      </c>
      <c r="C62" s="39" t="n">
        <f aca="false">A62*(5_Nos_chiffres!$C$5+5_Nos_chiffres!$C$6)/2</f>
        <v>216.595818</v>
      </c>
      <c r="D62" s="54" t="n">
        <f aca="false">C62*(B62-1)</f>
        <v>2.06264085748978</v>
      </c>
    </row>
    <row r="63" customFormat="false" ht="15" hidden="false" customHeight="false" outlineLevel="0" collapsed="false">
      <c r="A63" s="54" t="n">
        <v>0.38</v>
      </c>
      <c r="B63" s="28" t="n">
        <f aca="false">1+5_Nos_chiffres!$C$9*A63^2+5_Nos_chiffres!$C$10*A63^4+5_Nos_chiffres!$C$13*A63^6</f>
        <v>1.01084015241638</v>
      </c>
      <c r="C63" s="39" t="n">
        <f aca="false">A63*(5_Nos_chiffres!$C$5+5_Nos_chiffres!$C$6)/2</f>
        <v>228.628919</v>
      </c>
      <c r="D63" s="54" t="n">
        <f aca="false">C63*(B63-1)</f>
        <v>2.47837232875157</v>
      </c>
    </row>
    <row r="64" customFormat="false" ht="15" hidden="false" customHeight="false" outlineLevel="0" collapsed="false">
      <c r="A64" s="54" t="n">
        <v>0.4</v>
      </c>
      <c r="B64" s="28" t="n">
        <f aca="false">1+5_Nos_chiffres!$C$9*A64^2+5_Nos_chiffres!$C$10*A64^4+5_Nos_chiffres!$C$13*A64^6</f>
        <v>1.012019189504</v>
      </c>
      <c r="C64" s="39" t="n">
        <f aca="false">A64*(5_Nos_chiffres!$C$5+5_Nos_chiffres!$C$6)/2</f>
        <v>240.66202</v>
      </c>
      <c r="D64" s="54" t="n">
        <f aca="false">C64*(B64-1)</f>
        <v>2.89256242479545</v>
      </c>
    </row>
    <row r="65" customFormat="false" ht="15" hidden="false" customHeight="false" outlineLevel="0" collapsed="false">
      <c r="A65" s="54" t="n">
        <v>0.42</v>
      </c>
      <c r="B65" s="28" t="n">
        <f aca="false">1+5_Nos_chiffres!$C$9*A65^2+5_Nos_chiffres!$C$10*A65^4+5_Nos_chiffres!$C$13*A65^6</f>
        <v>1.01294280731723</v>
      </c>
      <c r="C65" s="39" t="n">
        <f aca="false">A65*(5_Nos_chiffres!$C$5+5_Nos_chiffres!$C$6)/2</f>
        <v>252.695121</v>
      </c>
      <c r="D65" s="54" t="n">
        <f aca="false">C65*(B65-1)</f>
        <v>3.27058426110605</v>
      </c>
    </row>
    <row r="66" customFormat="false" ht="15" hidden="false" customHeight="false" outlineLevel="0" collapsed="false">
      <c r="A66" s="54" t="n">
        <v>0.44</v>
      </c>
      <c r="B66" s="28" t="n">
        <f aca="false">1+5_Nos_chiffres!$C$9*A66^2+5_Nos_chiffres!$C$10*A66^4+5_Nos_chiffres!$C$13*A66^6</f>
        <v>1.01346608955531</v>
      </c>
      <c r="C66" s="39" t="n">
        <f aca="false">A66*(5_Nos_chiffres!$C$5+5_Nos_chiffres!$C$6)/2</f>
        <v>264.728222</v>
      </c>
      <c r="D66" s="54" t="n">
        <f aca="false">C66*(B66-1)</f>
        <v>3.56485394526958</v>
      </c>
    </row>
    <row r="67" customFormat="false" ht="15" hidden="false" customHeight="false" outlineLevel="0" collapsed="false">
      <c r="A67" s="54" t="n">
        <v>0.46</v>
      </c>
      <c r="B67" s="28" t="n">
        <f aca="false">1+5_Nos_chiffres!$C$9*A67^2+5_Nos_chiffres!$C$10*A67^4+5_Nos_chiffres!$C$13*A67^6</f>
        <v>1.01341326207514</v>
      </c>
      <c r="C67" s="39" t="n">
        <f aca="false">A67*(5_Nos_chiffres!$C$5+5_Nos_chiffres!$C$6)/2</f>
        <v>276.761323</v>
      </c>
      <c r="D67" s="54" t="n">
        <f aca="false">C67*(B67-1)</f>
        <v>3.71227215766194</v>
      </c>
    </row>
    <row r="68" customFormat="false" ht="15" hidden="false" customHeight="false" outlineLevel="0" collapsed="false">
      <c r="A68" s="54" t="n">
        <v>0.48</v>
      </c>
      <c r="B68" s="28" t="n">
        <f aca="false">1+5_Nos_chiffres!$C$9*A68^2+5_Nos_chiffres!$C$10*A68^4+5_Nos_chiffres!$C$13*A68^6</f>
        <v>1.01257429449776</v>
      </c>
      <c r="C68" s="39" t="n">
        <f aca="false">A68*(5_Nos_chiffres!$C$5+5_Nos_chiffres!$C$6)/2</f>
        <v>288.794424</v>
      </c>
      <c r="D68" s="54" t="n">
        <f aca="false">C68*(B68-1)</f>
        <v>3.63138613668557</v>
      </c>
    </row>
    <row r="69" customFormat="false" ht="15" hidden="false" customHeight="false" outlineLevel="0" collapsed="false">
      <c r="A69" s="54" t="n">
        <v>0.5</v>
      </c>
      <c r="B69" s="28" t="n">
        <f aca="false">1+5_Nos_chiffres!$C$9*A69^2+5_Nos_chiffres!$C$10*A69^4+5_Nos_chiffres!$C$13*A69^6</f>
        <v>1.01070134375</v>
      </c>
      <c r="C69" s="39" t="n">
        <f aca="false">A69*(5_Nos_chiffres!$C$5+5_Nos_chiffres!$C$6)/2</f>
        <v>300.827525</v>
      </c>
      <c r="D69" s="54" t="n">
        <f aca="false">C69*(B69-1)</f>
        <v>3.21925875448668</v>
      </c>
    </row>
    <row r="70" customFormat="false" ht="15" hidden="false" customHeight="false" outlineLevel="0" collapsed="false">
      <c r="A70" s="54" t="n">
        <v>0.52</v>
      </c>
      <c r="B70" s="28" t="n">
        <f aca="false">1+5_Nos_chiffres!$C$9*A70^2+5_Nos_chiffres!$C$10*A70^4+5_Nos_chiffres!$C$13*A70^6</f>
        <v>1.00750503954142</v>
      </c>
      <c r="C70" s="39" t="n">
        <f aca="false">A70*(5_Nos_chiffres!$C$5+5_Nos_chiffres!$C$6)/2</f>
        <v>312.860626</v>
      </c>
      <c r="D70" s="54" t="n">
        <f aca="false">C70*(B70-1)</f>
        <v>2.3480313690821</v>
      </c>
    </row>
    <row r="71" customFormat="false" ht="15" hidden="false" customHeight="false" outlineLevel="0" collapsed="false">
      <c r="A71" s="54" t="n">
        <v>0.54</v>
      </c>
      <c r="B71" s="28" t="n">
        <f aca="false">1+5_Nos_chiffres!$C$9*A71^2+5_Nos_chiffres!$C$10*A71^4+5_Nos_chiffres!$C$13*A71^6</f>
        <v>1.00265061177629</v>
      </c>
      <c r="C71" s="39" t="n">
        <f aca="false">A71*(5_Nos_chiffres!$C$5+5_Nos_chiffres!$C$6)/2</f>
        <v>324.893727</v>
      </c>
      <c r="D71" s="54" t="n">
        <f aca="false">C71*(B71-1)</f>
        <v>0.861167138827975</v>
      </c>
    </row>
    <row r="72" customFormat="false" ht="15" hidden="false" customHeight="false" outlineLevel="0" collapsed="false">
      <c r="A72" s="54" t="n">
        <v>0.56</v>
      </c>
      <c r="B72" s="28" t="n">
        <f aca="false">1+5_Nos_chiffres!$C$9*A72^2+5_Nos_chiffres!$C$10*A72^4+5_Nos_chiffres!$C$13*A72^6</f>
        <v>0.995753859900883</v>
      </c>
      <c r="C72" s="39" t="n">
        <f aca="false">A72*(5_Nos_chiffres!$C$5+5_Nos_chiffres!$C$6)/2</f>
        <v>336.926828</v>
      </c>
      <c r="D72" s="54" t="n">
        <f aca="false">C72*(B72-1)</f>
        <v>-1.43063851483912</v>
      </c>
    </row>
    <row r="73" customFormat="false" ht="15" hidden="false" customHeight="false" outlineLevel="0" collapsed="false">
      <c r="A73" s="54" t="n">
        <v>0.58</v>
      </c>
      <c r="B73" s="28" t="n">
        <f aca="false">1+5_Nos_chiffres!$C$9*A73^2+5_Nos_chiffres!$C$10*A73^4+5_Nos_chiffres!$C$13*A73^6</f>
        <v>0.986376964185885</v>
      </c>
      <c r="C73" s="39" t="n">
        <f aca="false">A73*(5_Nos_chiffres!$C$5+5_Nos_chiffres!$C$6)/2</f>
        <v>348.959929</v>
      </c>
      <c r="D73" s="54" t="n">
        <f aca="false">C73*(B73-1)</f>
        <v>-4.75389361045801</v>
      </c>
    </row>
    <row r="74" customFormat="false" ht="15" hidden="false" customHeight="false" outlineLevel="0" collapsed="false">
      <c r="A74" s="54" t="n">
        <v>0.6</v>
      </c>
      <c r="B74" s="28" t="n">
        <f aca="false">1+5_Nos_chiffres!$C$9*A74^2+5_Nos_chiffres!$C$10*A74^4+5_Nos_chiffres!$C$13*A74^6</f>
        <v>0.974024138944</v>
      </c>
      <c r="C74" s="39" t="n">
        <f aca="false">A74*(5_Nos_chiffres!$C$5+5_Nos_chiffres!$C$6)/2</f>
        <v>360.99303</v>
      </c>
      <c r="D74" s="54" t="n">
        <f aca="false">C74*(B74-1)</f>
        <v>-9.37710478946441</v>
      </c>
    </row>
    <row r="75" customFormat="false" ht="15" hidden="false" customHeight="false" outlineLevel="0" collapsed="false">
      <c r="A75" s="54" t="n">
        <v>0.62</v>
      </c>
      <c r="B75" s="28" t="n">
        <f aca="false">1+5_Nos_chiffres!$C$9*A75^2+5_Nos_chiffres!$C$10*A75^4+5_Nos_chiffres!$C$13*A75^6</f>
        <v>0.958137127682758</v>
      </c>
      <c r="C75" s="39" t="n">
        <f aca="false">A75*(5_Nos_chiffres!$C$5+5_Nos_chiffres!$C$6)/2</f>
        <v>373.026131</v>
      </c>
      <c r="D75" s="54" t="n">
        <f aca="false">C75*(B75-1)</f>
        <v>-15.6159452930478</v>
      </c>
    </row>
    <row r="76" customFormat="false" ht="15" hidden="false" customHeight="false" outlineLevel="0" collapsed="false">
      <c r="A76" s="54" t="n">
        <v>0.64</v>
      </c>
      <c r="B76" s="28" t="n">
        <f aca="false">1+5_Nos_chiffres!$C$9*A76^2+5_Nos_chiffres!$C$10*A76^4+5_Nos_chiffres!$C$13*A76^6</f>
        <v>0.938090540192498</v>
      </c>
      <c r="C76" s="39" t="n">
        <f aca="false">A76*(5_Nos_chiffres!$C$5+5_Nos_chiffres!$C$6)/2</f>
        <v>385.059232</v>
      </c>
      <c r="D76" s="54" t="n">
        <f aca="false">C76*(B76-1)</f>
        <v>-23.8388090470117</v>
      </c>
    </row>
    <row r="77" customFormat="false" ht="15" hidden="false" customHeight="false" outlineLevel="0" collapsed="false">
      <c r="A77" s="54" t="n">
        <v>0.66</v>
      </c>
      <c r="B77" s="28" t="n">
        <f aca="false">1+5_Nos_chiffres!$C$9*A77^2+5_Nos_chiffres!$C$10*A77^4+5_Nos_chiffres!$C$13*A77^6</f>
        <v>0.913187031569536</v>
      </c>
      <c r="C77" s="39" t="n">
        <f aca="false">A77*(5_Nos_chiffres!$C$5+5_Nos_chiffres!$C$6)/2</f>
        <v>397.092333</v>
      </c>
      <c r="D77" s="54" t="n">
        <f aca="false">C77*(B77-1)</f>
        <v>-34.4727641687082</v>
      </c>
    </row>
    <row r="78" customFormat="false" ht="15" hidden="false" customHeight="false" outlineLevel="0" collapsed="false">
      <c r="A78" s="54" t="n">
        <v>0.68</v>
      </c>
      <c r="B78" s="28" t="n">
        <f aca="false">1+5_Nos_chiffres!$C$9*A78^2+5_Nos_chiffres!$C$10*A78^4+5_Nos_chiffres!$C$13*A78^6</f>
        <v>0.882652323174527</v>
      </c>
      <c r="C78" s="39" t="n">
        <f aca="false">A78*(5_Nos_chiffres!$C$5+5_Nos_chiffres!$C$6)/2</f>
        <v>409.125434</v>
      </c>
      <c r="D78" s="54" t="n">
        <f aca="false">C78*(B78-1)</f>
        <v>-48.0099192101134</v>
      </c>
    </row>
    <row r="79" customFormat="false" ht="15" hidden="false" customHeight="false" outlineLevel="0" collapsed="false">
      <c r="A79" s="54" t="n">
        <v>0.7</v>
      </c>
      <c r="B79" s="28" t="n">
        <f aca="false">1+5_Nos_chiffres!$C$9*A79^2+5_Nos_chiffres!$C$10*A79^4+5_Nos_chiffres!$C$13*A79^6</f>
        <v>0.845630065526</v>
      </c>
      <c r="C79" s="39" t="n">
        <f aca="false">A79*(5_Nos_chiffres!$C$5+5_Nos_chiffres!$C$6)/2</f>
        <v>421.158535</v>
      </c>
      <c r="D79" s="54" t="n">
        <f aca="false">C79*(B79-1)</f>
        <v>-65.0142154511159</v>
      </c>
    </row>
    <row r="81" customFormat="false" ht="19.5" hidden="false" customHeight="true" outlineLevel="0" collapsed="false">
      <c r="A81" s="3" t="s">
        <v>372</v>
      </c>
      <c r="B81" s="3"/>
      <c r="C81" s="3"/>
      <c r="D81" s="3"/>
      <c r="E81" s="3"/>
      <c r="F81" s="3"/>
      <c r="G81" s="3"/>
      <c r="H81" s="3"/>
      <c r="I81" s="3"/>
    </row>
    <row r="82" customFormat="false" ht="45.75" hidden="false" customHeight="true" outlineLevel="0" collapsed="false">
      <c r="A82" s="4" t="s">
        <v>373</v>
      </c>
      <c r="B82" s="4"/>
      <c r="C82" s="4"/>
      <c r="D82" s="4"/>
      <c r="E82" s="4"/>
      <c r="F82" s="4"/>
      <c r="G82" s="4"/>
      <c r="H82" s="4"/>
      <c r="I82" s="4"/>
    </row>
    <row r="83" customFormat="false" ht="60" hidden="false" customHeight="true" outlineLevel="0" collapsed="false">
      <c r="A83" s="4" t="s">
        <v>374</v>
      </c>
      <c r="B83" s="4"/>
      <c r="C83" s="4"/>
      <c r="D83" s="4"/>
      <c r="E83" s="4"/>
      <c r="F83" s="4"/>
      <c r="G83" s="4"/>
      <c r="H83" s="4"/>
      <c r="I83" s="4"/>
    </row>
  </sheetData>
  <mergeCells count="10">
    <mergeCell ref="A1:I1"/>
    <mergeCell ref="A2:I2"/>
    <mergeCell ref="A4:I4"/>
    <mergeCell ref="A8:I8"/>
    <mergeCell ref="A9:I9"/>
    <mergeCell ref="A41:I41"/>
    <mergeCell ref="A42:I42"/>
    <mergeCell ref="A81:I81"/>
    <mergeCell ref="A82:I82"/>
    <mergeCell ref="A83:I8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54"/>
    <col collapsed="false" customWidth="true" hidden="false" outlineLevel="0" max="4" min="4" style="0" width="14"/>
    <col collapsed="false" customWidth="true" hidden="false" outlineLevel="0" max="6" min="5" style="0" width="12"/>
  </cols>
  <sheetData>
    <row r="1" customFormat="false" ht="30" hidden="false" customHeight="true" outlineLevel="0" collapsed="false">
      <c r="A1" s="1" t="s">
        <v>375</v>
      </c>
      <c r="B1" s="1"/>
      <c r="C1" s="1"/>
    </row>
    <row r="2" customFormat="false" ht="24" hidden="false" customHeight="true" outlineLevel="0" collapsed="false">
      <c r="A2" s="2" t="s">
        <v>376</v>
      </c>
      <c r="B2" s="2"/>
      <c r="C2" s="2"/>
    </row>
    <row r="4" customFormat="false" ht="19.5" hidden="false" customHeight="true" outlineLevel="0" collapsed="false">
      <c r="A4" s="3" t="s">
        <v>377</v>
      </c>
      <c r="B4" s="3"/>
      <c r="C4" s="3"/>
    </row>
    <row r="5" customFormat="false" ht="15" hidden="false" customHeight="false" outlineLevel="0" collapsed="false">
      <c r="A5" s="6"/>
      <c r="B5" s="6" t="s">
        <v>378</v>
      </c>
      <c r="C5" s="6" t="s">
        <v>379</v>
      </c>
    </row>
    <row r="6" customFormat="false" ht="45.75" hidden="false" customHeight="true" outlineLevel="0" collapsed="false">
      <c r="A6" s="20" t="s">
        <v>380</v>
      </c>
      <c r="B6" s="7" t="s">
        <v>381</v>
      </c>
      <c r="C6" s="7" t="s">
        <v>382</v>
      </c>
    </row>
    <row r="7" customFormat="false" ht="45.75" hidden="false" customHeight="true" outlineLevel="0" collapsed="false">
      <c r="A7" s="20" t="s">
        <v>383</v>
      </c>
      <c r="B7" s="7" t="s">
        <v>384</v>
      </c>
      <c r="C7" s="7" t="s">
        <v>385</v>
      </c>
    </row>
    <row r="8" customFormat="false" ht="45.75" hidden="false" customHeight="true" outlineLevel="0" collapsed="false">
      <c r="A8" s="20" t="s">
        <v>386</v>
      </c>
      <c r="B8" s="7" t="s">
        <v>387</v>
      </c>
      <c r="C8" s="7" t="s">
        <v>388</v>
      </c>
    </row>
    <row r="9" customFormat="false" ht="45.75" hidden="false" customHeight="true" outlineLevel="0" collapsed="false">
      <c r="A9" s="20" t="s">
        <v>389</v>
      </c>
      <c r="B9" s="7" t="s">
        <v>390</v>
      </c>
      <c r="C9" s="7" t="s">
        <v>391</v>
      </c>
    </row>
    <row r="10" customFormat="false" ht="45.75" hidden="false" customHeight="true" outlineLevel="0" collapsed="false">
      <c r="A10" s="20" t="s">
        <v>392</v>
      </c>
      <c r="B10" s="7" t="s">
        <v>393</v>
      </c>
      <c r="C10" s="7" t="s">
        <v>394</v>
      </c>
    </row>
    <row r="11" customFormat="false" ht="45.75" hidden="false" customHeight="true" outlineLevel="0" collapsed="false">
      <c r="A11" s="20" t="s">
        <v>395</v>
      </c>
      <c r="B11" s="7" t="s">
        <v>396</v>
      </c>
      <c r="C11" s="7" t="s">
        <v>397</v>
      </c>
    </row>
    <row r="12" customFormat="false" ht="45.75" hidden="false" customHeight="true" outlineLevel="0" collapsed="false">
      <c r="A12" s="20" t="s">
        <v>398</v>
      </c>
      <c r="B12" s="7" t="s">
        <v>399</v>
      </c>
      <c r="C12" s="7" t="s">
        <v>400</v>
      </c>
    </row>
    <row r="14" customFormat="false" ht="19.5" hidden="false" customHeight="true" outlineLevel="0" collapsed="false">
      <c r="A14" s="3" t="s">
        <v>401</v>
      </c>
      <c r="B14" s="3"/>
      <c r="C14" s="3"/>
    </row>
    <row r="15" customFormat="false" ht="15" hidden="false" customHeight="false" outlineLevel="0" collapsed="false">
      <c r="A15" s="6"/>
      <c r="B15" s="6" t="s">
        <v>402</v>
      </c>
      <c r="C15" s="6" t="s">
        <v>403</v>
      </c>
    </row>
    <row r="16" customFormat="false" ht="27.75" hidden="false" customHeight="true" outlineLevel="0" collapsed="false">
      <c r="A16" s="14" t="s">
        <v>380</v>
      </c>
      <c r="B16" s="7" t="s">
        <v>404</v>
      </c>
      <c r="C16" s="7" t="s">
        <v>405</v>
      </c>
    </row>
    <row r="17" customFormat="false" ht="27.75" hidden="false" customHeight="true" outlineLevel="0" collapsed="false">
      <c r="A17" s="14" t="s">
        <v>383</v>
      </c>
      <c r="B17" s="7" t="s">
        <v>406</v>
      </c>
      <c r="C17" s="7" t="s">
        <v>407</v>
      </c>
    </row>
    <row r="18" customFormat="false" ht="27.75" hidden="false" customHeight="true" outlineLevel="0" collapsed="false">
      <c r="A18" s="14" t="s">
        <v>386</v>
      </c>
      <c r="B18" s="7" t="s">
        <v>408</v>
      </c>
      <c r="C18" s="7" t="s">
        <v>409</v>
      </c>
    </row>
    <row r="19" customFormat="false" ht="27.75" hidden="false" customHeight="true" outlineLevel="0" collapsed="false">
      <c r="A19" s="14" t="s">
        <v>389</v>
      </c>
      <c r="B19" s="7" t="s">
        <v>410</v>
      </c>
      <c r="C19" s="7" t="s">
        <v>411</v>
      </c>
    </row>
    <row r="20" customFormat="false" ht="27.75" hidden="false" customHeight="true" outlineLevel="0" collapsed="false">
      <c r="A20" s="14" t="s">
        <v>392</v>
      </c>
      <c r="B20" s="7" t="s">
        <v>412</v>
      </c>
      <c r="C20" s="7" t="s">
        <v>413</v>
      </c>
    </row>
    <row r="21" customFormat="false" ht="27.75" hidden="false" customHeight="true" outlineLevel="0" collapsed="false">
      <c r="A21" s="14" t="s">
        <v>395</v>
      </c>
      <c r="B21" s="7" t="s">
        <v>414</v>
      </c>
      <c r="C21" s="7" t="s">
        <v>415</v>
      </c>
    </row>
    <row r="23" customFormat="false" ht="19.5" hidden="false" customHeight="true" outlineLevel="0" collapsed="false">
      <c r="A23" s="3" t="s">
        <v>416</v>
      </c>
      <c r="B23" s="3"/>
      <c r="C23" s="3"/>
    </row>
    <row r="24" customFormat="false" ht="15" hidden="false" customHeight="false" outlineLevel="0" collapsed="false">
      <c r="A24" s="6"/>
      <c r="B24" s="6" t="s">
        <v>417</v>
      </c>
      <c r="C24" s="6" t="s">
        <v>418</v>
      </c>
    </row>
    <row r="25" customFormat="false" ht="15" hidden="false" customHeight="false" outlineLevel="0" collapsed="false">
      <c r="A25" s="50" t="s">
        <v>342</v>
      </c>
      <c r="B25" s="7" t="s">
        <v>419</v>
      </c>
      <c r="C25" s="7" t="s">
        <v>420</v>
      </c>
    </row>
    <row r="26" customFormat="false" ht="15" hidden="false" customHeight="false" outlineLevel="0" collapsed="false">
      <c r="A26" s="50" t="s">
        <v>342</v>
      </c>
      <c r="B26" s="7" t="s">
        <v>421</v>
      </c>
      <c r="C26" s="7" t="s">
        <v>422</v>
      </c>
    </row>
    <row r="27" customFormat="false" ht="15" hidden="false" customHeight="false" outlineLevel="0" collapsed="false">
      <c r="A27" s="50" t="s">
        <v>342</v>
      </c>
      <c r="B27" s="7" t="s">
        <v>423</v>
      </c>
      <c r="C27" s="7" t="s">
        <v>424</v>
      </c>
    </row>
    <row r="28" customFormat="false" ht="15" hidden="false" customHeight="false" outlineLevel="0" collapsed="false">
      <c r="A28" s="50" t="s">
        <v>342</v>
      </c>
      <c r="B28" s="7" t="s">
        <v>425</v>
      </c>
      <c r="C28" s="7" t="s">
        <v>426</v>
      </c>
    </row>
    <row r="29" customFormat="false" ht="15" hidden="false" customHeight="false" outlineLevel="0" collapsed="false">
      <c r="A29" s="50" t="s">
        <v>342</v>
      </c>
      <c r="B29" s="7" t="s">
        <v>427</v>
      </c>
      <c r="C29" s="7" t="s">
        <v>428</v>
      </c>
    </row>
    <row r="30" customFormat="false" ht="15" hidden="false" customHeight="false" outlineLevel="0" collapsed="false">
      <c r="A30" s="50" t="s">
        <v>342</v>
      </c>
      <c r="B30" s="7" t="s">
        <v>429</v>
      </c>
      <c r="C30" s="7" t="s">
        <v>430</v>
      </c>
    </row>
  </sheetData>
  <mergeCells count="5">
    <mergeCell ref="A1:C1"/>
    <mergeCell ref="A2:C2"/>
    <mergeCell ref="A4:C4"/>
    <mergeCell ref="A14:C14"/>
    <mergeCell ref="A23:C2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2026-08-12T05:41:57Z</dcterms:created>
  <dc:creator>openpyxl</dc:creator>
  <dc:description/>
  <dc:language>en-US</dc:language>
  <cp:lastModifiedBy/>
  <dcterms:modified xsi:type="dcterms:W3CDTF">2026-08-12T05:42:00Z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